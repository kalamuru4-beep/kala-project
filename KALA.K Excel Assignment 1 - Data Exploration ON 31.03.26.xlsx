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600" yWindow="576" windowWidth="14052" windowHeight="7116" activeTab="2"/>
  </bookViews>
  <sheets>
    <sheet name="Instructions" sheetId="1" r:id="rId1"/>
    <sheet name="Dataset" sheetId="2" r:id="rId2"/>
    <sheet name="KALA.K ASSIGNMENT " sheetId="3" r:id="rId3"/>
  </sheets>
  <definedNames>
    <definedName name="_xlnm._FilterDatabase" localSheetId="2" hidden="1">'KALA.K ASSIGNMENT '!$A$1:$AA$35</definedName>
  </definedNames>
  <calcPr calcId="124519"/>
  <extLst>
    <ext uri="GoogleSheetsCustomDataVersion2">
      <go:sheetsCustomData xmlns:go="http://customooxmlschemas.google.com/" r:id="" roundtripDataChecksum="xxdYPntQl+bO0ka4qHfhA4BnM4OowOuFpS2wlv4H/kM="/>
    </ext>
  </extLst>
</workbook>
</file>

<file path=xl/calcChain.xml><?xml version="1.0" encoding="utf-8"?>
<calcChain xmlns="http://schemas.openxmlformats.org/spreadsheetml/2006/main">
  <c r="G3" i="3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2"/>
  <c r="U18"/>
  <c r="U17"/>
  <c r="D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2"/>
  <c r="C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2"/>
  <c r="B3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2"/>
  <c r="K2"/>
  <c r="K3"/>
  <c r="K4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J2"/>
  <c r="U8"/>
  <c r="U7"/>
  <c r="U6"/>
</calcChain>
</file>

<file path=xl/sharedStrings.xml><?xml version="1.0" encoding="utf-8"?>
<sst xmlns="http://schemas.openxmlformats.org/spreadsheetml/2006/main" count="349" uniqueCount="135">
  <si>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</si>
  <si>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</si>
  <si>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</si>
  <si>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</si>
  <si>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</si>
  <si>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</si>
  <si>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</si>
  <si>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</si>
  <si>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</si>
  <si>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</si>
  <si>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</si>
  <si>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</si>
  <si>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</si>
  <si>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</si>
  <si>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</si>
  <si>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</si>
  <si>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</si>
  <si>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</si>
  <si>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</si>
  <si>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</si>
  <si>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</si>
  <si>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</si>
  <si>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</si>
  <si>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</si>
  <si>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</si>
  <si>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</si>
  <si>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</si>
  <si>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</si>
  <si>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</si>
  <si>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</si>
  <si>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</si>
  <si>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</si>
  <si>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</si>
  <si>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</si>
  <si>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</si>
  <si>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</si>
  <si>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</si>
  <si>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</si>
  <si>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</si>
  <si>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</si>
  <si>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</si>
  <si>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</si>
  <si>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</si>
  <si>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</si>
  <si>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</si>
  <si>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</si>
  <si>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</si>
  <si>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</si>
  <si>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</si>
  <si>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</si>
  <si>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</si>
  <si>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</si>
  <si>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</si>
  <si>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</si>
  <si>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</si>
  <si>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</si>
  <si>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</si>
  <si>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</si>
  <si>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</si>
  <si>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</si>
  <si>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</si>
  <si>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</si>
  <si>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</si>
  <si>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</si>
  <si>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</si>
  <si>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</si>
  <si>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</si>
  <si>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</si>
  <si>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</si>
  <si>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</si>
  <si>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</si>
  <si>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</si>
  <si>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</si>
  <si>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</si>
  <si>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</si>
  <si>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</si>
  <si>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</si>
  <si>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</si>
  <si>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</si>
  <si>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</si>
  <si>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</si>
  <si>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</si>
  <si>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</si>
  <si>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</si>
  <si>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</si>
  <si>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</si>
  <si>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</si>
  <si>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</si>
  <si>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</si>
  <si>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</si>
  <si>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</si>
  <si>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</si>
  <si>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</si>
  <si>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</si>
  <si>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</si>
  <si>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</si>
  <si>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</si>
  <si>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</si>
  <si>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</si>
  <si>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</si>
  <si>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</si>
  <si>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</si>
  <si>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</si>
  <si>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</si>
  <si>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</si>
  <si>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</si>
  <si>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</si>
  <si>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</si>
  <si>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</si>
  <si>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</si>
  <si>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ASSIGNMENT 1</t>
  </si>
  <si>
    <t>ANSWER</t>
  </si>
  <si>
    <t>SUM</t>
  </si>
  <si>
    <t>COUNT</t>
  </si>
  <si>
    <t xml:space="preserve">AVERAGE </t>
  </si>
  <si>
    <t xml:space="preserve">SUM FORMULA </t>
  </si>
  <si>
    <t xml:space="preserve">COUNTA FORMULA </t>
  </si>
  <si>
    <t>ON 31.03.26</t>
  </si>
  <si>
    <t>K.KALA</t>
  </si>
  <si>
    <t xml:space="preserve">ANSWER </t>
  </si>
  <si>
    <t>MIN</t>
  </si>
  <si>
    <t>MAX</t>
  </si>
  <si>
    <t xml:space="preserve">price range </t>
  </si>
  <si>
    <t xml:space="preserve">HIGH PRICE </t>
  </si>
  <si>
    <t>STANDARED PRICE</t>
  </si>
  <si>
    <t>PRODUCTS &lt;100</t>
  </si>
  <si>
    <t>ELECROTICS TOTAL PRICE</t>
  </si>
  <si>
    <t xml:space="preserve">Electonics total price </t>
  </si>
  <si>
    <t>product less than 100</t>
  </si>
  <si>
    <t>day 2character</t>
  </si>
  <si>
    <t>country code</t>
  </si>
  <si>
    <t>month</t>
  </si>
  <si>
    <t>Extracted days</t>
  </si>
  <si>
    <t xml:space="preserve">month 4th to 6 th </t>
  </si>
  <si>
    <t xml:space="preserve">done in excel </t>
  </si>
</sst>
</file>

<file path=xl/styles.xml><?xml version="1.0" encoding="utf-8"?>
<styleSheet xmlns="http://schemas.openxmlformats.org/spreadsheetml/2006/main">
  <fonts count="7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/>
    <xf numFmtId="0" fontId="6" fillId="3" borderId="0" xfId="0" applyFont="1" applyFill="1"/>
    <xf numFmtId="0" fontId="6" fillId="4" borderId="0" xfId="0" applyFont="1" applyFill="1" applyAlignment="1"/>
    <xf numFmtId="0" fontId="5" fillId="2" borderId="1" xfId="0" applyFont="1" applyFill="1" applyBorder="1" applyAlignment="1">
      <alignment horizontal="center"/>
    </xf>
    <xf numFmtId="0" fontId="6" fillId="0" borderId="1" xfId="0" applyFont="1" applyBorder="1"/>
    <xf numFmtId="0" fontId="6" fillId="3" borderId="1" xfId="0" applyFont="1" applyFill="1" applyBorder="1"/>
    <xf numFmtId="0" fontId="5" fillId="2" borderId="0" xfId="0" applyFont="1" applyFill="1" applyBorder="1" applyAlignment="1">
      <alignment horizontal="center"/>
    </xf>
    <xf numFmtId="0" fontId="6" fillId="5" borderId="0" xfId="0" applyFont="1" applyFill="1"/>
    <xf numFmtId="0" fontId="0" fillId="0" borderId="1" xfId="0" applyFont="1" applyBorder="1" applyAlignment="1"/>
    <xf numFmtId="0" fontId="0" fillId="5" borderId="1" xfId="0" applyFill="1" applyBorder="1" applyAlignment="1"/>
    <xf numFmtId="0" fontId="0" fillId="5" borderId="1" xfId="0" applyFont="1" applyFill="1" applyBorder="1" applyAlignment="1"/>
    <xf numFmtId="0" fontId="2" fillId="0" borderId="1" xfId="0" applyFont="1" applyBorder="1"/>
    <xf numFmtId="0" fontId="3" fillId="0" borderId="1" xfId="0" applyFont="1" applyBorder="1"/>
    <xf numFmtId="0" fontId="0" fillId="0" borderId="1" xfId="0" applyBorder="1" applyAlignment="1"/>
    <xf numFmtId="0" fontId="3" fillId="0" borderId="1" xfId="0" applyFont="1" applyBorder="1" applyAlignment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1000"/>
  <sheetViews>
    <sheetView showGridLines="0" topLeftCell="A13" workbookViewId="0">
      <selection activeCell="A19" sqref="A19:L23"/>
    </sheetView>
  </sheetViews>
  <sheetFormatPr defaultColWidth="12.5546875" defaultRowHeight="15" customHeight="1"/>
  <cols>
    <col min="1" max="1" width="12.5546875" customWidth="1"/>
    <col min="2" max="2" width="7.44140625" customWidth="1"/>
    <col min="3" max="6" width="12.5546875" customWidth="1"/>
  </cols>
  <sheetData>
    <row r="1" spans="1:3" ht="15.75" customHeight="1">
      <c r="A1" s="1" t="s">
        <v>0</v>
      </c>
    </row>
    <row r="2" spans="1:3" ht="15.75" customHeight="1"/>
    <row r="3" spans="1:3" ht="15.75" customHeight="1">
      <c r="B3" s="2" t="s">
        <v>1</v>
      </c>
    </row>
    <row r="4" spans="1:3" ht="15.75" customHeight="1">
      <c r="B4" s="2"/>
      <c r="C4" s="3" t="s">
        <v>2</v>
      </c>
    </row>
    <row r="5" spans="1:3" ht="15.75" customHeight="1">
      <c r="B5" s="2"/>
      <c r="C5" s="3" t="s">
        <v>3</v>
      </c>
    </row>
    <row r="6" spans="1:3" ht="15.75" customHeight="1">
      <c r="B6" s="2"/>
      <c r="C6" s="3" t="s">
        <v>4</v>
      </c>
    </row>
    <row r="7" spans="1:3" ht="15.75" customHeight="1">
      <c r="B7" s="4"/>
    </row>
    <row r="8" spans="1:3" ht="15.75" customHeight="1">
      <c r="B8" s="2" t="s">
        <v>5</v>
      </c>
    </row>
    <row r="9" spans="1:3" ht="15.75" customHeight="1">
      <c r="C9" s="3" t="s">
        <v>6</v>
      </c>
    </row>
    <row r="10" spans="1:3" ht="15.75" customHeight="1">
      <c r="C10" s="3" t="s">
        <v>7</v>
      </c>
    </row>
    <row r="11" spans="1:3" ht="15.75" customHeight="1">
      <c r="B11" s="4"/>
    </row>
    <row r="12" spans="1:3" ht="15.75" customHeight="1">
      <c r="B12" s="2" t="s">
        <v>8</v>
      </c>
    </row>
    <row r="13" spans="1:3" ht="15.75" customHeight="1">
      <c r="C13" s="3" t="s">
        <v>9</v>
      </c>
    </row>
    <row r="14" spans="1:3" ht="15.75" customHeight="1">
      <c r="B14" s="4"/>
    </row>
    <row r="15" spans="1:3" ht="15.75" customHeight="1">
      <c r="B15" s="2" t="s">
        <v>10</v>
      </c>
    </row>
    <row r="16" spans="1:3" ht="15.75" customHeight="1">
      <c r="C16" s="3" t="s">
        <v>11</v>
      </c>
    </row>
    <row r="17" spans="2:3" ht="15.75" customHeight="1">
      <c r="C17" s="3" t="s">
        <v>12</v>
      </c>
    </row>
    <row r="18" spans="2:3" ht="15.75" customHeight="1">
      <c r="B18" s="4"/>
    </row>
    <row r="19" spans="2:3" ht="15.75" customHeight="1">
      <c r="B19" s="2" t="s">
        <v>13</v>
      </c>
    </row>
    <row r="20" spans="2:3" ht="15.75" customHeight="1">
      <c r="C20" s="3" t="s">
        <v>14</v>
      </c>
    </row>
    <row r="21" spans="2:3" ht="15.75" customHeight="1">
      <c r="C21" s="3" t="s">
        <v>15</v>
      </c>
    </row>
    <row r="22" spans="2:3" ht="15.75" customHeight="1">
      <c r="C22" s="3" t="s">
        <v>16</v>
      </c>
    </row>
    <row r="23" spans="2:3" ht="15.75" customHeight="1">
      <c r="B23" s="4"/>
    </row>
    <row r="24" spans="2:3" ht="15.75" customHeight="1"/>
    <row r="25" spans="2:3" ht="15.75" customHeight="1"/>
    <row r="26" spans="2:3" ht="15.75" customHeight="1"/>
    <row r="27" spans="2:3" ht="15.75" customHeight="1"/>
    <row r="28" spans="2:3" ht="15.75" customHeight="1"/>
    <row r="29" spans="2:3" ht="15.75" customHeight="1"/>
    <row r="30" spans="2:3" ht="15.75" customHeight="1"/>
    <row r="31" spans="2:3" ht="15.75" customHeight="1"/>
    <row r="32" spans="2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G1000"/>
  <sheetViews>
    <sheetView workbookViewId="0">
      <selection sqref="A1:XFD1048576"/>
    </sheetView>
  </sheetViews>
  <sheetFormatPr defaultColWidth="12.5546875" defaultRowHeight="15" customHeight="1"/>
  <cols>
    <col min="1" max="1" width="12.5546875" customWidth="1"/>
    <col min="2" max="2" width="14.109375" customWidth="1"/>
    <col min="3" max="6" width="12.5546875" customWidth="1"/>
  </cols>
  <sheetData>
    <row r="1" spans="1:7" ht="15.75" customHeight="1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8"/>
    </row>
    <row r="3" spans="1:7" ht="15.75" customHeight="1">
      <c r="A3" s="9" t="s">
        <v>27</v>
      </c>
      <c r="B3" s="9" t="s">
        <v>28</v>
      </c>
      <c r="C3" s="9" t="s">
        <v>29</v>
      </c>
      <c r="D3" s="9">
        <v>80</v>
      </c>
      <c r="E3" s="9">
        <v>15</v>
      </c>
      <c r="F3" s="9" t="s">
        <v>30</v>
      </c>
      <c r="G3" s="8"/>
    </row>
    <row r="4" spans="1:7" ht="15.75" customHeight="1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8"/>
    </row>
    <row r="5" spans="1:7" ht="15.75" customHeight="1">
      <c r="A5" s="9" t="s">
        <v>35</v>
      </c>
      <c r="B5" s="9" t="s">
        <v>36</v>
      </c>
      <c r="C5" s="9" t="s">
        <v>37</v>
      </c>
      <c r="D5" s="9">
        <v>900</v>
      </c>
      <c r="E5" s="9">
        <v>25</v>
      </c>
      <c r="F5" s="9" t="s">
        <v>26</v>
      </c>
      <c r="G5" s="8"/>
    </row>
    <row r="6" spans="1:7" ht="15.75" customHeight="1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8"/>
    </row>
    <row r="7" spans="1:7" ht="15.75" customHeight="1">
      <c r="A7" s="9" t="s">
        <v>42</v>
      </c>
      <c r="B7" s="9" t="s">
        <v>43</v>
      </c>
      <c r="C7" s="9" t="s">
        <v>44</v>
      </c>
      <c r="D7" s="9">
        <v>200</v>
      </c>
      <c r="E7" s="9">
        <v>45</v>
      </c>
      <c r="F7" s="9" t="s">
        <v>26</v>
      </c>
      <c r="G7" s="8"/>
    </row>
    <row r="8" spans="1:7" ht="15.75" customHeight="1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8"/>
    </row>
    <row r="9" spans="1:7" ht="15.75" customHeight="1">
      <c r="A9" s="9" t="s">
        <v>48</v>
      </c>
      <c r="B9" s="9" t="s">
        <v>49</v>
      </c>
      <c r="C9" s="9" t="s">
        <v>50</v>
      </c>
      <c r="D9" s="9">
        <v>90</v>
      </c>
      <c r="E9" s="9">
        <v>35</v>
      </c>
      <c r="F9" s="9" t="s">
        <v>34</v>
      </c>
      <c r="G9" s="8"/>
    </row>
    <row r="10" spans="1:7" ht="15.75" customHeight="1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8"/>
    </row>
    <row r="11" spans="1:7" ht="15.75" customHeight="1">
      <c r="A11" s="9" t="s">
        <v>54</v>
      </c>
      <c r="B11" s="9" t="s">
        <v>55</v>
      </c>
      <c r="C11" s="9" t="s">
        <v>56</v>
      </c>
      <c r="D11" s="9">
        <v>130</v>
      </c>
      <c r="E11" s="9">
        <v>10</v>
      </c>
      <c r="F11" s="9" t="s">
        <v>41</v>
      </c>
      <c r="G11" s="8"/>
    </row>
    <row r="12" spans="1:7" ht="15.75" customHeight="1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8"/>
    </row>
    <row r="13" spans="1:7" ht="15.75" customHeight="1">
      <c r="A13" s="9" t="s">
        <v>59</v>
      </c>
      <c r="B13" s="9" t="s">
        <v>28</v>
      </c>
      <c r="C13" s="9" t="s">
        <v>47</v>
      </c>
      <c r="D13" s="9">
        <v>90</v>
      </c>
      <c r="E13" s="9">
        <v>40</v>
      </c>
      <c r="F13" s="9" t="s">
        <v>30</v>
      </c>
      <c r="G13" s="8"/>
    </row>
    <row r="14" spans="1:7" ht="15.75" customHeight="1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8"/>
    </row>
    <row r="15" spans="1:7" ht="15.75" customHeight="1">
      <c r="A15" s="9" t="s">
        <v>62</v>
      </c>
      <c r="B15" s="9" t="s">
        <v>63</v>
      </c>
      <c r="C15" s="9" t="s">
        <v>64</v>
      </c>
      <c r="D15" s="9">
        <v>150</v>
      </c>
      <c r="E15" s="9">
        <v>15</v>
      </c>
      <c r="F15" s="9" t="s">
        <v>26</v>
      </c>
      <c r="G15" s="8"/>
    </row>
    <row r="16" spans="1:7" ht="15.75" customHeight="1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8"/>
    </row>
    <row r="17" spans="1:7" ht="15.75" customHeight="1">
      <c r="A17" s="9" t="s">
        <v>67</v>
      </c>
      <c r="B17" s="9" t="s">
        <v>68</v>
      </c>
      <c r="C17" s="9" t="s">
        <v>69</v>
      </c>
      <c r="D17" s="9">
        <v>50</v>
      </c>
      <c r="E17" s="9">
        <v>35</v>
      </c>
      <c r="F17" s="9" t="s">
        <v>70</v>
      </c>
      <c r="G17" s="8"/>
    </row>
    <row r="18" spans="1:7" ht="15.75" customHeight="1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8"/>
    </row>
    <row r="19" spans="1:7" ht="15.75" customHeight="1">
      <c r="A19" s="9" t="s">
        <v>73</v>
      </c>
      <c r="B19" s="9" t="s">
        <v>24</v>
      </c>
      <c r="C19" s="9" t="s">
        <v>74</v>
      </c>
      <c r="D19" s="9">
        <v>980</v>
      </c>
      <c r="E19" s="9">
        <v>10</v>
      </c>
      <c r="F19" s="9" t="s">
        <v>26</v>
      </c>
      <c r="G19" s="8"/>
    </row>
    <row r="20" spans="1:7" ht="15.75" customHeight="1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8"/>
    </row>
    <row r="21" spans="1:7" ht="15.75" customHeight="1">
      <c r="A21" s="9" t="s">
        <v>78</v>
      </c>
      <c r="B21" s="9" t="s">
        <v>79</v>
      </c>
      <c r="C21" s="9" t="s">
        <v>80</v>
      </c>
      <c r="D21" s="9">
        <v>200</v>
      </c>
      <c r="E21" s="9">
        <v>10</v>
      </c>
      <c r="F21" s="9" t="s">
        <v>41</v>
      </c>
      <c r="G21" s="8"/>
    </row>
    <row r="22" spans="1:7" ht="15.75" customHeight="1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8"/>
    </row>
    <row r="23" spans="1:7" ht="15.75" customHeight="1">
      <c r="A23" s="9" t="s">
        <v>84</v>
      </c>
      <c r="B23" s="9" t="s">
        <v>85</v>
      </c>
      <c r="C23" s="9" t="s">
        <v>86</v>
      </c>
      <c r="D23" s="9">
        <v>80</v>
      </c>
      <c r="E23" s="9">
        <v>20</v>
      </c>
      <c r="F23" s="9" t="s">
        <v>34</v>
      </c>
      <c r="G23" s="8"/>
    </row>
    <row r="24" spans="1:7" ht="15.75" customHeight="1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8"/>
    </row>
    <row r="25" spans="1:7" ht="15.75" customHeight="1">
      <c r="A25" s="9" t="s">
        <v>67</v>
      </c>
      <c r="B25" s="9" t="s">
        <v>68</v>
      </c>
      <c r="C25" s="9" t="s">
        <v>69</v>
      </c>
      <c r="D25" s="9">
        <v>50</v>
      </c>
      <c r="E25" s="9">
        <v>35</v>
      </c>
      <c r="F25" s="9" t="s">
        <v>70</v>
      </c>
      <c r="G25" s="10"/>
    </row>
    <row r="26" spans="1:7" ht="15.75" customHeight="1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8"/>
    </row>
    <row r="27" spans="1:7" ht="15.75" customHeight="1">
      <c r="A27" s="9" t="s">
        <v>92</v>
      </c>
      <c r="B27" s="9" t="s">
        <v>76</v>
      </c>
      <c r="C27" s="9" t="s">
        <v>93</v>
      </c>
      <c r="D27" s="9">
        <v>130</v>
      </c>
      <c r="E27" s="9">
        <v>25</v>
      </c>
      <c r="F27" s="9" t="s">
        <v>30</v>
      </c>
      <c r="G27" s="8"/>
    </row>
    <row r="28" spans="1:7" ht="15.75" customHeight="1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8"/>
    </row>
    <row r="29" spans="1:7" ht="15.75" customHeight="1">
      <c r="A29" s="9" t="s">
        <v>65</v>
      </c>
      <c r="B29" s="9" t="s">
        <v>43</v>
      </c>
      <c r="C29" s="9" t="s">
        <v>66</v>
      </c>
      <c r="D29" s="9">
        <v>230</v>
      </c>
      <c r="E29" s="9">
        <v>20</v>
      </c>
      <c r="F29" s="9" t="s">
        <v>26</v>
      </c>
      <c r="G29" s="10"/>
    </row>
    <row r="30" spans="1:7" ht="15.75" customHeight="1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8"/>
    </row>
    <row r="31" spans="1:7" ht="15.75" customHeight="1">
      <c r="A31" s="9" t="s">
        <v>99</v>
      </c>
      <c r="B31" s="9" t="s">
        <v>100</v>
      </c>
      <c r="C31" s="9" t="s">
        <v>101</v>
      </c>
      <c r="D31" s="9">
        <v>40</v>
      </c>
      <c r="E31" s="9">
        <v>10</v>
      </c>
      <c r="F31" s="9" t="s">
        <v>34</v>
      </c>
      <c r="G31" s="8"/>
    </row>
    <row r="32" spans="1:7" ht="15.75" customHeight="1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8"/>
    </row>
    <row r="33" spans="1:7" ht="15.75" customHeight="1">
      <c r="A33" s="9" t="s">
        <v>104</v>
      </c>
      <c r="B33" s="9" t="s">
        <v>105</v>
      </c>
      <c r="C33" s="9" t="s">
        <v>106</v>
      </c>
      <c r="D33" s="9">
        <v>50</v>
      </c>
      <c r="E33" s="9">
        <v>50</v>
      </c>
      <c r="F33" s="9" t="s">
        <v>30</v>
      </c>
      <c r="G33" s="8"/>
    </row>
    <row r="34" spans="1:7" ht="15.75" customHeight="1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8"/>
    </row>
    <row r="35" spans="1:7" ht="15.75" customHeight="1">
      <c r="A35" s="9" t="s">
        <v>107</v>
      </c>
      <c r="B35" s="9" t="s">
        <v>108</v>
      </c>
      <c r="C35" s="9" t="s">
        <v>109</v>
      </c>
      <c r="D35" s="9">
        <v>100</v>
      </c>
      <c r="E35" s="9">
        <v>20</v>
      </c>
      <c r="F35" s="9" t="s">
        <v>70</v>
      </c>
      <c r="G35" s="8"/>
    </row>
    <row r="36" spans="1:7" ht="15.75" customHeight="1"/>
    <row r="37" spans="1:7" ht="15.75" customHeight="1"/>
    <row r="38" spans="1:7" ht="15.75" customHeight="1"/>
    <row r="39" spans="1:7" ht="15.75" customHeight="1"/>
    <row r="40" spans="1:7" ht="15.75" customHeight="1"/>
    <row r="41" spans="1:7" ht="15.75" customHeight="1"/>
    <row r="42" spans="1:7" ht="15.75" customHeight="1"/>
    <row r="43" spans="1:7" ht="15.75" customHeight="1"/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1000"/>
  <sheetViews>
    <sheetView tabSelected="1" topLeftCell="A46" workbookViewId="0">
      <selection activeCell="T60" sqref="T60"/>
    </sheetView>
  </sheetViews>
  <sheetFormatPr defaultColWidth="12.5546875" defaultRowHeight="15" customHeight="1"/>
  <cols>
    <col min="1" max="4" width="12.5546875" customWidth="1"/>
    <col min="5" max="5" width="14.109375" customWidth="1"/>
    <col min="6" max="6" width="12.5546875" customWidth="1"/>
    <col min="7" max="7" width="15.6640625" customWidth="1"/>
    <col min="8" max="10" width="12.5546875" customWidth="1"/>
    <col min="11" max="11" width="17" customWidth="1"/>
    <col min="12" max="12" width="13.109375" customWidth="1"/>
    <col min="13" max="13" width="14.33203125" customWidth="1"/>
  </cols>
  <sheetData>
    <row r="1" spans="1:27" ht="27" customHeight="1">
      <c r="A1" s="11" t="s">
        <v>17</v>
      </c>
      <c r="B1" s="11" t="s">
        <v>129</v>
      </c>
      <c r="C1" s="11" t="s">
        <v>130</v>
      </c>
      <c r="D1" s="11" t="s">
        <v>131</v>
      </c>
      <c r="E1" s="11" t="s">
        <v>18</v>
      </c>
      <c r="F1" s="11" t="s">
        <v>19</v>
      </c>
      <c r="G1" s="11" t="s">
        <v>122</v>
      </c>
      <c r="H1" s="11" t="s">
        <v>20</v>
      </c>
      <c r="I1" s="11" t="s">
        <v>21</v>
      </c>
      <c r="J1" s="14" t="s">
        <v>127</v>
      </c>
      <c r="K1" s="14" t="s">
        <v>128</v>
      </c>
      <c r="L1" s="6" t="s">
        <v>22</v>
      </c>
      <c r="M1" s="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spans="1:27" ht="15.75" customHeight="1">
      <c r="A2" s="12" t="s">
        <v>23</v>
      </c>
      <c r="B2" s="12" t="str">
        <f>LEFT(A2,2)</f>
        <v>28</v>
      </c>
      <c r="C2" s="12" t="str">
        <f>RIGHT(A2,2)</f>
        <v>US</v>
      </c>
      <c r="D2" s="12" t="str">
        <f>MID(A2,4,3)</f>
        <v>JAN</v>
      </c>
      <c r="E2" s="12" t="s">
        <v>24</v>
      </c>
      <c r="F2" s="12" t="s">
        <v>25</v>
      </c>
      <c r="G2" s="12" t="str">
        <f>IF(H2:H35&gt;=500,"high price","standared price")</f>
        <v>high price</v>
      </c>
      <c r="H2" s="12">
        <v>1000</v>
      </c>
      <c r="I2" s="12">
        <v>30</v>
      </c>
      <c r="J2" s="12">
        <f>SUMIF(L2:L35,"Electronics",H2:H35)</f>
        <v>8050</v>
      </c>
      <c r="K2" s="12">
        <f>COUNTIF(H2:H35,"&lt;100")</f>
        <v>11</v>
      </c>
      <c r="L2" s="12" t="s">
        <v>26</v>
      </c>
      <c r="M2" s="8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spans="1:27" ht="15.75" customHeight="1">
      <c r="A3" s="13" t="s">
        <v>27</v>
      </c>
      <c r="B3" s="12" t="str">
        <f t="shared" ref="B3:B35" si="0">LEFT(A3,2)</f>
        <v>15</v>
      </c>
      <c r="C3" s="12" t="str">
        <f t="shared" ref="C3:C35" si="1">RIGHT(A3,2)</f>
        <v>US</v>
      </c>
      <c r="D3" s="12" t="str">
        <f t="shared" ref="D3:D35" si="2">MID(A3,4,3)</f>
        <v>FEB</v>
      </c>
      <c r="E3" s="13" t="s">
        <v>28</v>
      </c>
      <c r="F3" s="13" t="s">
        <v>29</v>
      </c>
      <c r="G3" s="12" t="str">
        <f t="shared" ref="G3:G35" si="3">IF(H3:H36&gt;=500,"high price","standared price")</f>
        <v>standared price</v>
      </c>
      <c r="H3" s="13">
        <v>80</v>
      </c>
      <c r="I3" s="13">
        <v>15</v>
      </c>
      <c r="J3" s="13"/>
      <c r="K3" s="12">
        <f>COUNTIF(E3:E36,"&gt;100")</f>
        <v>0</v>
      </c>
      <c r="L3" s="13" t="s">
        <v>30</v>
      </c>
      <c r="M3" s="15"/>
      <c r="N3" s="17" t="s">
        <v>118</v>
      </c>
      <c r="O3" s="17" t="s">
        <v>110</v>
      </c>
      <c r="P3" s="18"/>
      <c r="Q3" s="17" t="s">
        <v>117</v>
      </c>
      <c r="R3" s="16"/>
      <c r="S3" s="16"/>
      <c r="T3" s="16"/>
      <c r="U3" s="16"/>
      <c r="V3" s="16"/>
      <c r="W3" s="16"/>
      <c r="X3" s="16"/>
      <c r="Y3" s="16"/>
      <c r="Z3" s="16"/>
      <c r="AA3" s="16"/>
    </row>
    <row r="4" spans="1:27" ht="15.75" customHeight="1">
      <c r="A4" s="12" t="s">
        <v>31</v>
      </c>
      <c r="B4" s="12" t="str">
        <f t="shared" si="0"/>
        <v>03</v>
      </c>
      <c r="C4" s="12" t="str">
        <f t="shared" si="1"/>
        <v>US</v>
      </c>
      <c r="D4" s="12" t="str">
        <f t="shared" si="2"/>
        <v>MAR</v>
      </c>
      <c r="E4" s="12" t="s">
        <v>32</v>
      </c>
      <c r="F4" s="12" t="s">
        <v>33</v>
      </c>
      <c r="G4" s="12" t="str">
        <f t="shared" si="3"/>
        <v>standared price</v>
      </c>
      <c r="H4" s="12">
        <v>130</v>
      </c>
      <c r="I4" s="12">
        <v>40</v>
      </c>
      <c r="J4" s="12"/>
      <c r="K4" s="12">
        <f t="shared" ref="K4:K35" si="4">COUNTIF(E4:E37,"&lt;100")</f>
        <v>0</v>
      </c>
      <c r="L4" s="12" t="s">
        <v>34</v>
      </c>
      <c r="M4" s="8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spans="1:27" ht="15.75" customHeight="1">
      <c r="A5" s="13" t="s">
        <v>35</v>
      </c>
      <c r="B5" s="12" t="str">
        <f t="shared" si="0"/>
        <v>11</v>
      </c>
      <c r="C5" s="12" t="str">
        <f t="shared" si="1"/>
        <v>US</v>
      </c>
      <c r="D5" s="12" t="str">
        <f t="shared" si="2"/>
        <v>APR</v>
      </c>
      <c r="E5" s="13" t="s">
        <v>36</v>
      </c>
      <c r="F5" s="13" t="s">
        <v>37</v>
      </c>
      <c r="G5" s="12" t="str">
        <f t="shared" si="3"/>
        <v>high price</v>
      </c>
      <c r="H5" s="13">
        <v>900</v>
      </c>
      <c r="I5" s="13">
        <v>25</v>
      </c>
      <c r="J5" s="13"/>
      <c r="K5" s="12">
        <f t="shared" si="4"/>
        <v>0</v>
      </c>
      <c r="L5" s="13" t="s">
        <v>26</v>
      </c>
      <c r="M5" s="8"/>
      <c r="N5" s="16"/>
      <c r="O5" s="19" t="s">
        <v>1</v>
      </c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 spans="1:27" ht="15.75" customHeight="1">
      <c r="A6" s="12" t="s">
        <v>38</v>
      </c>
      <c r="B6" s="12" t="str">
        <f t="shared" si="0"/>
        <v>22</v>
      </c>
      <c r="C6" s="12" t="str">
        <f t="shared" si="1"/>
        <v>US</v>
      </c>
      <c r="D6" s="12" t="str">
        <f t="shared" si="2"/>
        <v>MAY</v>
      </c>
      <c r="E6" s="12" t="s">
        <v>39</v>
      </c>
      <c r="F6" s="12" t="s">
        <v>40</v>
      </c>
      <c r="G6" s="12" t="str">
        <f t="shared" si="3"/>
        <v>standared price</v>
      </c>
      <c r="H6" s="12">
        <v>70</v>
      </c>
      <c r="I6" s="12">
        <v>20</v>
      </c>
      <c r="J6" s="12"/>
      <c r="K6" s="12">
        <f t="shared" si="4"/>
        <v>0</v>
      </c>
      <c r="L6" s="12" t="s">
        <v>41</v>
      </c>
      <c r="M6" s="8"/>
      <c r="N6" s="16"/>
      <c r="O6" s="19"/>
      <c r="P6" s="20" t="s">
        <v>2</v>
      </c>
      <c r="Q6" s="16"/>
      <c r="R6" s="16"/>
      <c r="S6" s="16"/>
      <c r="T6" s="21" t="s">
        <v>115</v>
      </c>
      <c r="U6" s="16">
        <f>SUM(H2:H35,)</f>
        <v>10100</v>
      </c>
      <c r="V6" s="16"/>
      <c r="W6" s="16"/>
      <c r="X6" s="16"/>
      <c r="Y6" s="16"/>
      <c r="Z6" s="16"/>
      <c r="AA6" s="16"/>
    </row>
    <row r="7" spans="1:27" ht="15.75" customHeight="1">
      <c r="A7" s="13" t="s">
        <v>42</v>
      </c>
      <c r="B7" s="12" t="str">
        <f t="shared" si="0"/>
        <v>07</v>
      </c>
      <c r="C7" s="12" t="str">
        <f t="shared" si="1"/>
        <v>UK</v>
      </c>
      <c r="D7" s="12" t="str">
        <f t="shared" si="2"/>
        <v>JUN</v>
      </c>
      <c r="E7" s="13" t="s">
        <v>43</v>
      </c>
      <c r="F7" s="13" t="s">
        <v>44</v>
      </c>
      <c r="G7" s="12" t="str">
        <f t="shared" si="3"/>
        <v>standared price</v>
      </c>
      <c r="H7" s="13">
        <v>200</v>
      </c>
      <c r="I7" s="13">
        <v>45</v>
      </c>
      <c r="J7" s="13"/>
      <c r="K7" s="12">
        <f t="shared" si="4"/>
        <v>0</v>
      </c>
      <c r="L7" s="13" t="s">
        <v>26</v>
      </c>
      <c r="M7" s="8"/>
      <c r="N7" s="16"/>
      <c r="O7" s="19"/>
      <c r="P7" s="20" t="s">
        <v>3</v>
      </c>
      <c r="Q7" s="16"/>
      <c r="R7" s="16"/>
      <c r="S7" s="16"/>
      <c r="T7" s="21" t="s">
        <v>116</v>
      </c>
      <c r="U7" s="16">
        <f>COUNTA(E2:E35)</f>
        <v>34</v>
      </c>
      <c r="V7" s="21"/>
      <c r="W7" s="16"/>
      <c r="X7" s="16"/>
      <c r="Y7" s="16"/>
      <c r="Z7" s="16"/>
      <c r="AA7" s="16"/>
    </row>
    <row r="8" spans="1:27" ht="15.75" customHeight="1">
      <c r="A8" s="12" t="s">
        <v>45</v>
      </c>
      <c r="B8" s="12" t="str">
        <f t="shared" si="0"/>
        <v>19</v>
      </c>
      <c r="C8" s="12" t="str">
        <f t="shared" si="1"/>
        <v>UK</v>
      </c>
      <c r="D8" s="12" t="str">
        <f t="shared" si="2"/>
        <v>JUL</v>
      </c>
      <c r="E8" s="12" t="s">
        <v>46</v>
      </c>
      <c r="F8" s="12" t="s">
        <v>47</v>
      </c>
      <c r="G8" s="12" t="str">
        <f t="shared" si="3"/>
        <v>standared price</v>
      </c>
      <c r="H8" s="12">
        <v>30</v>
      </c>
      <c r="I8" s="12">
        <v>5</v>
      </c>
      <c r="J8" s="12"/>
      <c r="K8" s="12">
        <f t="shared" si="4"/>
        <v>0</v>
      </c>
      <c r="L8" s="12" t="s">
        <v>30</v>
      </c>
      <c r="M8" s="8"/>
      <c r="N8" s="16"/>
      <c r="O8" s="19"/>
      <c r="P8" s="20" t="s">
        <v>4</v>
      </c>
      <c r="Q8" s="16"/>
      <c r="R8" s="16"/>
      <c r="S8" s="16"/>
      <c r="T8" s="21" t="s">
        <v>114</v>
      </c>
      <c r="U8" s="16">
        <f>AVERAGE(H2:H35)</f>
        <v>297.05882352941177</v>
      </c>
      <c r="V8" s="16"/>
      <c r="W8" s="16"/>
      <c r="X8" s="16"/>
      <c r="Y8" s="16"/>
      <c r="Z8" s="16"/>
      <c r="AA8" s="16"/>
    </row>
    <row r="9" spans="1:27" ht="15.75" customHeight="1">
      <c r="A9" s="13" t="s">
        <v>48</v>
      </c>
      <c r="B9" s="12" t="str">
        <f t="shared" si="0"/>
        <v>23</v>
      </c>
      <c r="C9" s="12" t="str">
        <f t="shared" si="1"/>
        <v>UK</v>
      </c>
      <c r="D9" s="12" t="str">
        <f t="shared" si="2"/>
        <v>AUG</v>
      </c>
      <c r="E9" s="13" t="s">
        <v>49</v>
      </c>
      <c r="F9" s="13" t="s">
        <v>50</v>
      </c>
      <c r="G9" s="12" t="str">
        <f t="shared" si="3"/>
        <v>standared price</v>
      </c>
      <c r="H9" s="13">
        <v>90</v>
      </c>
      <c r="I9" s="13">
        <v>35</v>
      </c>
      <c r="J9" s="13"/>
      <c r="K9" s="12">
        <f t="shared" si="4"/>
        <v>0</v>
      </c>
      <c r="L9" s="13" t="s">
        <v>34</v>
      </c>
      <c r="M9" s="8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spans="1:27" ht="15.75" customHeight="1">
      <c r="A10" s="12" t="s">
        <v>51</v>
      </c>
      <c r="B10" s="12" t="str">
        <f t="shared" si="0"/>
        <v>05</v>
      </c>
      <c r="C10" s="12" t="str">
        <f t="shared" si="1"/>
        <v>UK</v>
      </c>
      <c r="D10" s="12" t="str">
        <f t="shared" si="2"/>
        <v>SEP</v>
      </c>
      <c r="E10" s="12" t="s">
        <v>52</v>
      </c>
      <c r="F10" s="12" t="s">
        <v>53</v>
      </c>
      <c r="G10" s="12" t="str">
        <f t="shared" si="3"/>
        <v>high price</v>
      </c>
      <c r="H10" s="12">
        <v>500</v>
      </c>
      <c r="I10" s="12">
        <v>50</v>
      </c>
      <c r="J10" s="12"/>
      <c r="K10" s="12">
        <f t="shared" si="4"/>
        <v>0</v>
      </c>
      <c r="L10" s="12" t="s">
        <v>26</v>
      </c>
      <c r="M10" s="8"/>
      <c r="N10" s="16"/>
      <c r="O10" s="17" t="s">
        <v>111</v>
      </c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spans="1:27" ht="15.75" customHeight="1">
      <c r="A11" s="13" t="s">
        <v>54</v>
      </c>
      <c r="B11" s="12" t="str">
        <f t="shared" si="0"/>
        <v>14</v>
      </c>
      <c r="C11" s="12" t="str">
        <f t="shared" si="1"/>
        <v>UK</v>
      </c>
      <c r="D11" s="12" t="str">
        <f t="shared" si="2"/>
        <v>OCT</v>
      </c>
      <c r="E11" s="13" t="s">
        <v>55</v>
      </c>
      <c r="F11" s="13" t="s">
        <v>56</v>
      </c>
      <c r="G11" s="12" t="str">
        <f t="shared" si="3"/>
        <v>standared price</v>
      </c>
      <c r="H11" s="13">
        <v>130</v>
      </c>
      <c r="I11" s="13">
        <v>10</v>
      </c>
      <c r="J11" s="13"/>
      <c r="K11" s="12">
        <f t="shared" si="4"/>
        <v>0</v>
      </c>
      <c r="L11" s="13" t="s">
        <v>41</v>
      </c>
      <c r="M11" s="8"/>
      <c r="N11" s="16"/>
      <c r="O11" s="16">
        <v>1</v>
      </c>
      <c r="P11" s="22" t="s">
        <v>112</v>
      </c>
      <c r="Q11" s="16">
        <v>10100</v>
      </c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spans="1:27" ht="15.75" customHeight="1">
      <c r="A12" s="12" t="s">
        <v>57</v>
      </c>
      <c r="B12" s="12" t="str">
        <f t="shared" si="0"/>
        <v>17</v>
      </c>
      <c r="C12" s="12" t="str">
        <f t="shared" si="1"/>
        <v>IN</v>
      </c>
      <c r="D12" s="12" t="str">
        <f t="shared" si="2"/>
        <v>JUN</v>
      </c>
      <c r="E12" s="12" t="s">
        <v>24</v>
      </c>
      <c r="F12" s="12" t="s">
        <v>58</v>
      </c>
      <c r="G12" s="12" t="str">
        <f t="shared" si="3"/>
        <v>high price</v>
      </c>
      <c r="H12" s="12">
        <v>950</v>
      </c>
      <c r="I12" s="12">
        <v>25</v>
      </c>
      <c r="J12" s="12"/>
      <c r="K12" s="12">
        <f t="shared" si="4"/>
        <v>0</v>
      </c>
      <c r="L12" s="12" t="s">
        <v>26</v>
      </c>
      <c r="M12" s="8"/>
      <c r="N12" s="16"/>
      <c r="O12" s="16">
        <v>2</v>
      </c>
      <c r="P12" s="22" t="s">
        <v>113</v>
      </c>
      <c r="Q12" s="16">
        <v>34</v>
      </c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spans="1:27" ht="15.75" customHeight="1">
      <c r="A13" s="13" t="s">
        <v>59</v>
      </c>
      <c r="B13" s="12" t="str">
        <f t="shared" si="0"/>
        <v>25</v>
      </c>
      <c r="C13" s="12" t="str">
        <f t="shared" si="1"/>
        <v>AU</v>
      </c>
      <c r="D13" s="12" t="str">
        <f t="shared" si="2"/>
        <v>NOV</v>
      </c>
      <c r="E13" s="13" t="s">
        <v>28</v>
      </c>
      <c r="F13" s="13" t="s">
        <v>47</v>
      </c>
      <c r="G13" s="12" t="str">
        <f t="shared" si="3"/>
        <v>standared price</v>
      </c>
      <c r="H13" s="13">
        <v>90</v>
      </c>
      <c r="I13" s="13">
        <v>40</v>
      </c>
      <c r="J13" s="13"/>
      <c r="K13" s="12">
        <f t="shared" si="4"/>
        <v>0</v>
      </c>
      <c r="L13" s="13" t="s">
        <v>30</v>
      </c>
      <c r="M13" s="8"/>
      <c r="N13" s="16"/>
      <c r="O13" s="16">
        <v>3</v>
      </c>
      <c r="P13" s="22" t="s">
        <v>114</v>
      </c>
      <c r="Q13" s="16">
        <v>297.05</v>
      </c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spans="1:27" ht="15.75" customHeight="1">
      <c r="A14" s="12" t="s">
        <v>60</v>
      </c>
      <c r="B14" s="12" t="str">
        <f t="shared" si="0"/>
        <v>08</v>
      </c>
      <c r="C14" s="12" t="str">
        <f t="shared" si="1"/>
        <v>DE</v>
      </c>
      <c r="D14" s="12" t="str">
        <f t="shared" si="2"/>
        <v>DEC</v>
      </c>
      <c r="E14" s="12" t="s">
        <v>32</v>
      </c>
      <c r="F14" s="12" t="s">
        <v>61</v>
      </c>
      <c r="G14" s="12" t="str">
        <f t="shared" si="3"/>
        <v>standared price</v>
      </c>
      <c r="H14" s="12">
        <v>120</v>
      </c>
      <c r="I14" s="12">
        <v>35</v>
      </c>
      <c r="J14" s="12"/>
      <c r="K14" s="12">
        <f t="shared" si="4"/>
        <v>0</v>
      </c>
      <c r="L14" s="12" t="s">
        <v>34</v>
      </c>
      <c r="M14" s="8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spans="1:27" ht="15.75" customHeight="1">
      <c r="A15" s="13" t="s">
        <v>62</v>
      </c>
      <c r="B15" s="12" t="str">
        <f t="shared" si="0"/>
        <v>18</v>
      </c>
      <c r="C15" s="12" t="str">
        <f t="shared" si="1"/>
        <v>CA</v>
      </c>
      <c r="D15" s="12" t="str">
        <f t="shared" si="2"/>
        <v>FEB</v>
      </c>
      <c r="E15" s="13" t="s">
        <v>63</v>
      </c>
      <c r="F15" s="13" t="s">
        <v>64</v>
      </c>
      <c r="G15" s="12" t="str">
        <f t="shared" si="3"/>
        <v>standared price</v>
      </c>
      <c r="H15" s="13">
        <v>150</v>
      </c>
      <c r="I15" s="13">
        <v>15</v>
      </c>
      <c r="J15" s="13"/>
      <c r="K15" s="12">
        <f t="shared" si="4"/>
        <v>0</v>
      </c>
      <c r="L15" s="13" t="s">
        <v>26</v>
      </c>
      <c r="M15" s="8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spans="1:27" ht="15.75" customHeight="1">
      <c r="A16" s="12" t="s">
        <v>65</v>
      </c>
      <c r="B16" s="12" t="str">
        <f t="shared" si="0"/>
        <v>16</v>
      </c>
      <c r="C16" s="12" t="str">
        <f t="shared" si="1"/>
        <v>ES</v>
      </c>
      <c r="D16" s="12" t="str">
        <f t="shared" si="2"/>
        <v>APR</v>
      </c>
      <c r="E16" s="12" t="s">
        <v>43</v>
      </c>
      <c r="F16" s="12" t="s">
        <v>66</v>
      </c>
      <c r="G16" s="12" t="str">
        <f t="shared" si="3"/>
        <v>standared price</v>
      </c>
      <c r="H16" s="12">
        <v>250</v>
      </c>
      <c r="I16" s="12">
        <v>20</v>
      </c>
      <c r="J16" s="12"/>
      <c r="K16" s="12">
        <f t="shared" si="4"/>
        <v>0</v>
      </c>
      <c r="L16" s="12" t="s">
        <v>26</v>
      </c>
      <c r="M16" s="8"/>
      <c r="N16" s="16"/>
      <c r="O16" s="19" t="s">
        <v>5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1:27" ht="15.75" customHeight="1">
      <c r="A17" s="13" t="s">
        <v>67</v>
      </c>
      <c r="B17" s="12" t="str">
        <f t="shared" si="0"/>
        <v>21</v>
      </c>
      <c r="C17" s="12" t="str">
        <f t="shared" si="1"/>
        <v>CA</v>
      </c>
      <c r="D17" s="12" t="str">
        <f t="shared" si="2"/>
        <v>AUG</v>
      </c>
      <c r="E17" s="13" t="s">
        <v>68</v>
      </c>
      <c r="F17" s="13" t="s">
        <v>69</v>
      </c>
      <c r="G17" s="12" t="str">
        <f t="shared" si="3"/>
        <v>standared price</v>
      </c>
      <c r="H17" s="13">
        <v>50</v>
      </c>
      <c r="I17" s="13">
        <v>35</v>
      </c>
      <c r="J17" s="13"/>
      <c r="K17" s="12">
        <f t="shared" si="4"/>
        <v>0</v>
      </c>
      <c r="L17" s="13" t="s">
        <v>70</v>
      </c>
      <c r="M17" s="8"/>
      <c r="N17" s="16"/>
      <c r="O17" s="16"/>
      <c r="P17" s="20" t="s">
        <v>6</v>
      </c>
      <c r="Q17" s="16"/>
      <c r="R17" s="16"/>
      <c r="S17" s="16"/>
      <c r="T17" s="21" t="s">
        <v>120</v>
      </c>
      <c r="U17" s="16">
        <f>MIN(H2:H35)</f>
        <v>30</v>
      </c>
      <c r="V17" s="16"/>
      <c r="W17" s="16"/>
      <c r="X17" s="16"/>
      <c r="Y17" s="16"/>
      <c r="Z17" s="16"/>
      <c r="AA17" s="16"/>
    </row>
    <row r="18" spans="1:27" ht="15.75" customHeight="1">
      <c r="A18" s="12" t="s">
        <v>71</v>
      </c>
      <c r="B18" s="12" t="str">
        <f t="shared" si="0"/>
        <v>20</v>
      </c>
      <c r="C18" s="12" t="str">
        <f t="shared" si="1"/>
        <v>CN</v>
      </c>
      <c r="D18" s="12" t="str">
        <f t="shared" si="2"/>
        <v>AUG</v>
      </c>
      <c r="E18" s="12" t="s">
        <v>63</v>
      </c>
      <c r="F18" s="12" t="s">
        <v>72</v>
      </c>
      <c r="G18" s="12" t="str">
        <f t="shared" si="3"/>
        <v>standared price</v>
      </c>
      <c r="H18" s="12">
        <v>160</v>
      </c>
      <c r="I18" s="12">
        <v>15</v>
      </c>
      <c r="J18" s="12"/>
      <c r="K18" s="12">
        <f t="shared" si="4"/>
        <v>0</v>
      </c>
      <c r="L18" s="12" t="s">
        <v>26</v>
      </c>
      <c r="M18" s="8"/>
      <c r="N18" s="16"/>
      <c r="O18" s="16"/>
      <c r="P18" s="20" t="s">
        <v>7</v>
      </c>
      <c r="Q18" s="16"/>
      <c r="R18" s="16"/>
      <c r="S18" s="16"/>
      <c r="T18" s="21" t="s">
        <v>121</v>
      </c>
      <c r="U18" s="16">
        <f>MAX(H2:H35)</f>
        <v>1000</v>
      </c>
      <c r="V18" s="16"/>
      <c r="W18" s="16"/>
      <c r="X18" s="16"/>
      <c r="Y18" s="16"/>
      <c r="Z18" s="16"/>
      <c r="AA18" s="16"/>
    </row>
    <row r="19" spans="1:27" ht="15.75" customHeight="1">
      <c r="A19" s="13" t="s">
        <v>73</v>
      </c>
      <c r="B19" s="12" t="str">
        <f t="shared" si="0"/>
        <v>27</v>
      </c>
      <c r="C19" s="12" t="str">
        <f t="shared" si="1"/>
        <v>IT</v>
      </c>
      <c r="D19" s="12" t="str">
        <f t="shared" si="2"/>
        <v>JAN</v>
      </c>
      <c r="E19" s="13" t="s">
        <v>24</v>
      </c>
      <c r="F19" s="13" t="s">
        <v>74</v>
      </c>
      <c r="G19" s="12" t="str">
        <f t="shared" si="3"/>
        <v>high price</v>
      </c>
      <c r="H19" s="13">
        <v>980</v>
      </c>
      <c r="I19" s="13">
        <v>10</v>
      </c>
      <c r="J19" s="13"/>
      <c r="K19" s="12">
        <f t="shared" si="4"/>
        <v>0</v>
      </c>
      <c r="L19" s="13" t="s">
        <v>26</v>
      </c>
      <c r="M19" s="8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spans="1:27" ht="15.75" customHeight="1">
      <c r="A20" s="12" t="s">
        <v>75</v>
      </c>
      <c r="B20" s="12" t="str">
        <f t="shared" si="0"/>
        <v>01</v>
      </c>
      <c r="C20" s="12" t="str">
        <f t="shared" si="1"/>
        <v>UK</v>
      </c>
      <c r="D20" s="12" t="str">
        <f t="shared" si="2"/>
        <v>MAR</v>
      </c>
      <c r="E20" s="12" t="s">
        <v>76</v>
      </c>
      <c r="F20" s="12" t="s">
        <v>77</v>
      </c>
      <c r="G20" s="12" t="str">
        <f t="shared" si="3"/>
        <v>standared price</v>
      </c>
      <c r="H20" s="12">
        <v>150</v>
      </c>
      <c r="I20" s="12">
        <v>15</v>
      </c>
      <c r="J20" s="12"/>
      <c r="K20" s="12">
        <f t="shared" si="4"/>
        <v>0</v>
      </c>
      <c r="L20" s="12" t="s">
        <v>30</v>
      </c>
      <c r="M20" s="8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spans="1:27" ht="15.75" customHeight="1">
      <c r="A21" s="13" t="s">
        <v>78</v>
      </c>
      <c r="B21" s="12" t="str">
        <f t="shared" si="0"/>
        <v>14</v>
      </c>
      <c r="C21" s="12" t="str">
        <f t="shared" si="1"/>
        <v>US</v>
      </c>
      <c r="D21" s="12" t="str">
        <f t="shared" si="2"/>
        <v>AUG</v>
      </c>
      <c r="E21" s="13" t="s">
        <v>79</v>
      </c>
      <c r="F21" s="13" t="s">
        <v>80</v>
      </c>
      <c r="G21" s="12" t="str">
        <f t="shared" si="3"/>
        <v>standared price</v>
      </c>
      <c r="H21" s="13">
        <v>200</v>
      </c>
      <c r="I21" s="13">
        <v>10</v>
      </c>
      <c r="J21" s="13"/>
      <c r="K21" s="12">
        <f t="shared" si="4"/>
        <v>0</v>
      </c>
      <c r="L21" s="13" t="s">
        <v>41</v>
      </c>
      <c r="M21" s="8"/>
      <c r="N21" s="16"/>
      <c r="O21" s="17" t="s">
        <v>119</v>
      </c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spans="1:27" ht="15.75" customHeight="1">
      <c r="A22" s="12" t="s">
        <v>81</v>
      </c>
      <c r="B22" s="12" t="str">
        <f t="shared" si="0"/>
        <v>14</v>
      </c>
      <c r="C22" s="12" t="str">
        <f t="shared" si="1"/>
        <v>RU</v>
      </c>
      <c r="D22" s="12" t="str">
        <f t="shared" si="2"/>
        <v>MAY</v>
      </c>
      <c r="E22" s="12" t="s">
        <v>82</v>
      </c>
      <c r="F22" s="12" t="s">
        <v>83</v>
      </c>
      <c r="G22" s="12" t="str">
        <f t="shared" si="3"/>
        <v>high price</v>
      </c>
      <c r="H22" s="12">
        <v>700</v>
      </c>
      <c r="I22" s="12">
        <v>50</v>
      </c>
      <c r="J22" s="12"/>
      <c r="K22" s="12">
        <f t="shared" si="4"/>
        <v>0</v>
      </c>
      <c r="L22" s="12" t="s">
        <v>26</v>
      </c>
      <c r="M22" s="8"/>
      <c r="N22" s="16"/>
      <c r="O22" s="16">
        <v>1</v>
      </c>
      <c r="P22" s="21" t="s">
        <v>120</v>
      </c>
      <c r="Q22" s="16">
        <v>30</v>
      </c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spans="1:27" ht="15.75" customHeight="1">
      <c r="A23" s="13" t="s">
        <v>84</v>
      </c>
      <c r="B23" s="12" t="str">
        <f t="shared" si="0"/>
        <v>09</v>
      </c>
      <c r="C23" s="12" t="str">
        <f t="shared" si="1"/>
        <v>CA</v>
      </c>
      <c r="D23" s="12" t="str">
        <f t="shared" si="2"/>
        <v>JAN</v>
      </c>
      <c r="E23" s="13" t="s">
        <v>85</v>
      </c>
      <c r="F23" s="13" t="s">
        <v>86</v>
      </c>
      <c r="G23" s="12" t="str">
        <f t="shared" si="3"/>
        <v>standared price</v>
      </c>
      <c r="H23" s="13">
        <v>80</v>
      </c>
      <c r="I23" s="13">
        <v>20</v>
      </c>
      <c r="J23" s="13"/>
      <c r="K23" s="12">
        <f t="shared" si="4"/>
        <v>0</v>
      </c>
      <c r="L23" s="13" t="s">
        <v>34</v>
      </c>
      <c r="M23" s="8"/>
      <c r="N23" s="16"/>
      <c r="O23" s="16">
        <v>2</v>
      </c>
      <c r="P23" s="21" t="s">
        <v>121</v>
      </c>
      <c r="Q23" s="16">
        <v>1000</v>
      </c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spans="1:27" ht="15.75" customHeight="1">
      <c r="A24" s="12" t="s">
        <v>87</v>
      </c>
      <c r="B24" s="12" t="str">
        <f t="shared" si="0"/>
        <v>19</v>
      </c>
      <c r="C24" s="12" t="str">
        <f t="shared" si="1"/>
        <v>BR</v>
      </c>
      <c r="D24" s="12" t="str">
        <f t="shared" si="2"/>
        <v>JUL</v>
      </c>
      <c r="E24" s="12" t="s">
        <v>88</v>
      </c>
      <c r="F24" s="12" t="s">
        <v>89</v>
      </c>
      <c r="G24" s="12" t="str">
        <f t="shared" si="3"/>
        <v>standared price</v>
      </c>
      <c r="H24" s="12">
        <v>150</v>
      </c>
      <c r="I24" s="12">
        <v>30</v>
      </c>
      <c r="J24" s="12"/>
      <c r="K24" s="12">
        <f t="shared" si="4"/>
        <v>0</v>
      </c>
      <c r="L24" s="12" t="s">
        <v>26</v>
      </c>
      <c r="M24" s="8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spans="1:27" ht="15.75" customHeight="1">
      <c r="A25" s="13" t="s">
        <v>67</v>
      </c>
      <c r="B25" s="12" t="str">
        <f t="shared" si="0"/>
        <v>21</v>
      </c>
      <c r="C25" s="12" t="str">
        <f t="shared" si="1"/>
        <v>CA</v>
      </c>
      <c r="D25" s="12" t="str">
        <f t="shared" si="2"/>
        <v>AUG</v>
      </c>
      <c r="E25" s="13" t="s">
        <v>68</v>
      </c>
      <c r="F25" s="13" t="s">
        <v>69</v>
      </c>
      <c r="G25" s="12" t="str">
        <f t="shared" si="3"/>
        <v>standared price</v>
      </c>
      <c r="H25" s="13">
        <v>50</v>
      </c>
      <c r="I25" s="13">
        <v>35</v>
      </c>
      <c r="J25" s="13"/>
      <c r="K25" s="12">
        <f t="shared" si="4"/>
        <v>0</v>
      </c>
      <c r="L25" s="13" t="s">
        <v>70</v>
      </c>
      <c r="M25" s="10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spans="1:27" ht="15.75" customHeight="1">
      <c r="A26" s="12" t="s">
        <v>90</v>
      </c>
      <c r="B26" s="12" t="str">
        <f t="shared" si="0"/>
        <v>29</v>
      </c>
      <c r="C26" s="12" t="str">
        <f t="shared" si="1"/>
        <v>CA</v>
      </c>
      <c r="D26" s="12" t="str">
        <f t="shared" si="2"/>
        <v>SEP</v>
      </c>
      <c r="E26" s="12" t="s">
        <v>36</v>
      </c>
      <c r="F26" s="12" t="s">
        <v>91</v>
      </c>
      <c r="G26" s="12" t="str">
        <f t="shared" si="3"/>
        <v>high price</v>
      </c>
      <c r="H26" s="12">
        <v>800</v>
      </c>
      <c r="I26" s="12">
        <v>45</v>
      </c>
      <c r="J26" s="12"/>
      <c r="K26" s="12">
        <f t="shared" si="4"/>
        <v>0</v>
      </c>
      <c r="L26" s="12" t="s">
        <v>26</v>
      </c>
      <c r="M26" s="8"/>
      <c r="N26" s="16"/>
      <c r="O26" s="19" t="s">
        <v>8</v>
      </c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spans="1:27" ht="15.75" customHeight="1">
      <c r="A27" s="13" t="s">
        <v>92</v>
      </c>
      <c r="B27" s="12" t="str">
        <f t="shared" si="0"/>
        <v>03</v>
      </c>
      <c r="C27" s="12" t="str">
        <f t="shared" si="1"/>
        <v>CA</v>
      </c>
      <c r="D27" s="12" t="str">
        <f t="shared" si="2"/>
        <v>JUN</v>
      </c>
      <c r="E27" s="13" t="s">
        <v>76</v>
      </c>
      <c r="F27" s="13" t="s">
        <v>93</v>
      </c>
      <c r="G27" s="12" t="str">
        <f t="shared" si="3"/>
        <v>standared price</v>
      </c>
      <c r="H27" s="13">
        <v>130</v>
      </c>
      <c r="I27" s="13">
        <v>25</v>
      </c>
      <c r="J27" s="13"/>
      <c r="K27" s="12">
        <f t="shared" si="4"/>
        <v>0</v>
      </c>
      <c r="L27" s="13" t="s">
        <v>30</v>
      </c>
      <c r="M27" s="8"/>
      <c r="N27" s="16"/>
      <c r="O27" s="16"/>
      <c r="P27" s="20" t="s">
        <v>9</v>
      </c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spans="1:27" ht="15.75" customHeight="1">
      <c r="A28" s="12" t="s">
        <v>94</v>
      </c>
      <c r="B28" s="12" t="str">
        <f t="shared" si="0"/>
        <v>11</v>
      </c>
      <c r="C28" s="12" t="str">
        <f t="shared" si="1"/>
        <v>CA</v>
      </c>
      <c r="D28" s="12" t="str">
        <f t="shared" si="2"/>
        <v>JUL</v>
      </c>
      <c r="E28" s="12" t="s">
        <v>49</v>
      </c>
      <c r="F28" s="12" t="s">
        <v>95</v>
      </c>
      <c r="G28" s="12" t="str">
        <f t="shared" si="3"/>
        <v>standared price</v>
      </c>
      <c r="H28" s="12">
        <v>400</v>
      </c>
      <c r="I28" s="12">
        <v>40</v>
      </c>
      <c r="J28" s="12"/>
      <c r="K28" s="12">
        <f t="shared" si="4"/>
        <v>0</v>
      </c>
      <c r="L28" s="12" t="s">
        <v>34</v>
      </c>
      <c r="M28" s="8"/>
      <c r="N28" s="16"/>
      <c r="O28" s="23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spans="1:27" ht="15.75" customHeight="1">
      <c r="A29" s="13" t="s">
        <v>65</v>
      </c>
      <c r="B29" s="12" t="str">
        <f t="shared" si="0"/>
        <v>16</v>
      </c>
      <c r="C29" s="12" t="str">
        <f t="shared" si="1"/>
        <v>ES</v>
      </c>
      <c r="D29" s="12" t="str">
        <f t="shared" si="2"/>
        <v>APR</v>
      </c>
      <c r="E29" s="13" t="s">
        <v>43</v>
      </c>
      <c r="F29" s="13" t="s">
        <v>66</v>
      </c>
      <c r="G29" s="12" t="str">
        <f t="shared" si="3"/>
        <v>standared price</v>
      </c>
      <c r="H29" s="13">
        <v>230</v>
      </c>
      <c r="I29" s="13">
        <v>20</v>
      </c>
      <c r="J29" s="13"/>
      <c r="K29" s="12">
        <f t="shared" si="4"/>
        <v>0</v>
      </c>
      <c r="L29" s="13" t="s">
        <v>26</v>
      </c>
      <c r="M29" s="10"/>
      <c r="N29" s="16"/>
      <c r="O29" s="21"/>
      <c r="P29" s="21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spans="1:27" ht="15.75" customHeight="1">
      <c r="A30" s="12" t="s">
        <v>96</v>
      </c>
      <c r="B30" s="12" t="str">
        <f t="shared" si="0"/>
        <v>07</v>
      </c>
      <c r="C30" s="12" t="str">
        <f t="shared" si="1"/>
        <v>CA</v>
      </c>
      <c r="D30" s="12" t="str">
        <f t="shared" si="2"/>
        <v>MAR</v>
      </c>
      <c r="E30" s="12" t="s">
        <v>97</v>
      </c>
      <c r="F30" s="12" t="s">
        <v>98</v>
      </c>
      <c r="G30" s="12" t="str">
        <f t="shared" si="3"/>
        <v>standared price</v>
      </c>
      <c r="H30" s="12">
        <v>60</v>
      </c>
      <c r="I30" s="12">
        <v>30</v>
      </c>
      <c r="J30" s="12"/>
      <c r="K30" s="12">
        <f t="shared" si="4"/>
        <v>0</v>
      </c>
      <c r="L30" s="12" t="s">
        <v>30</v>
      </c>
      <c r="M30" s="8"/>
      <c r="N30" s="16"/>
      <c r="O30" s="17" t="s">
        <v>111</v>
      </c>
      <c r="P30" s="21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spans="1:27" ht="15.75" customHeight="1">
      <c r="A31" s="13" t="s">
        <v>99</v>
      </c>
      <c r="B31" s="12" t="str">
        <f t="shared" si="0"/>
        <v>13</v>
      </c>
      <c r="C31" s="12" t="str">
        <f t="shared" si="1"/>
        <v>CA</v>
      </c>
      <c r="D31" s="12" t="str">
        <f t="shared" si="2"/>
        <v>APR</v>
      </c>
      <c r="E31" s="13" t="s">
        <v>100</v>
      </c>
      <c r="F31" s="13" t="s">
        <v>101</v>
      </c>
      <c r="G31" s="12" t="str">
        <f t="shared" si="3"/>
        <v>standared price</v>
      </c>
      <c r="H31" s="13">
        <v>40</v>
      </c>
      <c r="I31" s="13">
        <v>10</v>
      </c>
      <c r="J31" s="13"/>
      <c r="K31" s="12">
        <f t="shared" si="4"/>
        <v>0</v>
      </c>
      <c r="L31" s="13" t="s">
        <v>34</v>
      </c>
      <c r="M31" s="8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spans="1:27" ht="15.75" customHeight="1">
      <c r="A32" s="12" t="s">
        <v>102</v>
      </c>
      <c r="B32" s="12" t="str">
        <f t="shared" si="0"/>
        <v>24</v>
      </c>
      <c r="C32" s="12" t="str">
        <f t="shared" si="1"/>
        <v>CA</v>
      </c>
      <c r="D32" s="12" t="str">
        <f t="shared" si="2"/>
        <v>MAY</v>
      </c>
      <c r="E32" s="12" t="s">
        <v>88</v>
      </c>
      <c r="F32" s="12" t="s">
        <v>103</v>
      </c>
      <c r="G32" s="12" t="str">
        <f t="shared" si="3"/>
        <v>standared price</v>
      </c>
      <c r="H32" s="12">
        <v>130</v>
      </c>
      <c r="I32" s="12">
        <v>5</v>
      </c>
      <c r="J32" s="12"/>
      <c r="K32" s="12">
        <f t="shared" si="4"/>
        <v>0</v>
      </c>
      <c r="L32" s="12" t="s">
        <v>26</v>
      </c>
      <c r="M32" s="8"/>
      <c r="N32" s="16"/>
      <c r="O32" s="21"/>
      <c r="P32" s="21" t="s">
        <v>123</v>
      </c>
      <c r="Q32" s="16"/>
      <c r="R32" s="16">
        <v>8</v>
      </c>
      <c r="S32" s="16"/>
      <c r="T32" s="16"/>
      <c r="U32" s="16"/>
      <c r="V32" s="16"/>
      <c r="W32" s="16"/>
      <c r="X32" s="16"/>
      <c r="Y32" s="16"/>
      <c r="Z32" s="16"/>
      <c r="AA32" s="16"/>
    </row>
    <row r="33" spans="1:27" ht="15.75" customHeight="1">
      <c r="A33" s="13" t="s">
        <v>104</v>
      </c>
      <c r="B33" s="12" t="str">
        <f t="shared" si="0"/>
        <v>02</v>
      </c>
      <c r="C33" s="12" t="str">
        <f t="shared" si="1"/>
        <v>CA</v>
      </c>
      <c r="D33" s="12" t="str">
        <f t="shared" si="2"/>
        <v>DEC</v>
      </c>
      <c r="E33" s="13" t="s">
        <v>105</v>
      </c>
      <c r="F33" s="13" t="s">
        <v>106</v>
      </c>
      <c r="G33" s="12" t="str">
        <f t="shared" si="3"/>
        <v>standared price</v>
      </c>
      <c r="H33" s="13">
        <v>50</v>
      </c>
      <c r="I33" s="13">
        <v>50</v>
      </c>
      <c r="J33" s="13"/>
      <c r="K33" s="12">
        <f t="shared" si="4"/>
        <v>0</v>
      </c>
      <c r="L33" s="13" t="s">
        <v>30</v>
      </c>
      <c r="M33" s="8"/>
      <c r="N33" s="16"/>
      <c r="O33" s="16"/>
      <c r="P33" s="21" t="s">
        <v>124</v>
      </c>
      <c r="Q33" s="16"/>
      <c r="R33" s="16">
        <v>26</v>
      </c>
      <c r="S33" s="16"/>
      <c r="T33" s="16"/>
      <c r="U33" s="16"/>
      <c r="V33" s="16"/>
      <c r="W33" s="16"/>
      <c r="X33" s="16"/>
      <c r="Y33" s="16"/>
      <c r="Z33" s="16"/>
      <c r="AA33" s="16"/>
    </row>
    <row r="34" spans="1:27" ht="15.75" customHeight="1">
      <c r="A34" s="12" t="s">
        <v>57</v>
      </c>
      <c r="B34" s="12" t="str">
        <f t="shared" si="0"/>
        <v>17</v>
      </c>
      <c r="C34" s="12" t="str">
        <f t="shared" si="1"/>
        <v>IN</v>
      </c>
      <c r="D34" s="12" t="str">
        <f t="shared" si="2"/>
        <v>JUN</v>
      </c>
      <c r="E34" s="12" t="s">
        <v>24</v>
      </c>
      <c r="F34" s="12" t="s">
        <v>58</v>
      </c>
      <c r="G34" s="12" t="str">
        <f t="shared" si="3"/>
        <v>high price</v>
      </c>
      <c r="H34" s="12">
        <v>950</v>
      </c>
      <c r="I34" s="12">
        <v>25</v>
      </c>
      <c r="J34" s="12"/>
      <c r="K34" s="12">
        <f t="shared" si="4"/>
        <v>0</v>
      </c>
      <c r="L34" s="12" t="s">
        <v>26</v>
      </c>
      <c r="M34" s="8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 spans="1:27" ht="15.75" customHeight="1">
      <c r="A35" s="13" t="s">
        <v>107</v>
      </c>
      <c r="B35" s="12" t="str">
        <f t="shared" si="0"/>
        <v>09</v>
      </c>
      <c r="C35" s="12" t="str">
        <f t="shared" si="1"/>
        <v>FR</v>
      </c>
      <c r="D35" s="12" t="str">
        <f t="shared" si="2"/>
        <v>JUL</v>
      </c>
      <c r="E35" s="13" t="s">
        <v>108</v>
      </c>
      <c r="F35" s="13" t="s">
        <v>109</v>
      </c>
      <c r="G35" s="12" t="str">
        <f t="shared" si="3"/>
        <v>standared price</v>
      </c>
      <c r="H35" s="13">
        <v>100</v>
      </c>
      <c r="I35" s="13">
        <v>20</v>
      </c>
      <c r="J35" s="13"/>
      <c r="K35" s="12">
        <f t="shared" si="4"/>
        <v>0</v>
      </c>
      <c r="L35" s="13" t="s">
        <v>70</v>
      </c>
      <c r="M35" s="8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spans="1:27" ht="15.75" customHeight="1">
      <c r="N36" s="16"/>
      <c r="O36" s="19" t="s">
        <v>10</v>
      </c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spans="1:27" ht="15.75" customHeight="1">
      <c r="N37" s="16"/>
      <c r="O37" s="16"/>
      <c r="P37" s="20" t="s">
        <v>11</v>
      </c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spans="1:27" ht="15.75" customHeight="1">
      <c r="N38" s="16"/>
      <c r="O38" s="16"/>
      <c r="P38" s="20" t="s">
        <v>12</v>
      </c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spans="1:27" ht="15.75" customHeight="1">
      <c r="N39" s="16"/>
      <c r="O39" s="23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spans="1:27" ht="15.75" customHeight="1"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 spans="1:27" ht="15.75" customHeight="1">
      <c r="N41" s="16"/>
      <c r="O41" s="17" t="s">
        <v>111</v>
      </c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spans="1:27" ht="15.75" customHeight="1"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 spans="1:27" ht="15.75" customHeight="1">
      <c r="N43" s="16"/>
      <c r="O43" s="16">
        <v>1</v>
      </c>
      <c r="P43" s="21" t="s">
        <v>126</v>
      </c>
      <c r="Q43" s="16"/>
      <c r="R43" s="16">
        <v>8050</v>
      </c>
      <c r="S43" s="16"/>
      <c r="T43" s="16"/>
      <c r="U43" s="16"/>
      <c r="V43" s="16"/>
      <c r="W43" s="16"/>
      <c r="X43" s="16"/>
      <c r="Y43" s="16"/>
      <c r="Z43" s="16"/>
      <c r="AA43" s="16"/>
    </row>
    <row r="44" spans="1:27" ht="15.75" customHeight="1">
      <c r="N44" s="16"/>
      <c r="O44" s="16">
        <v>2</v>
      </c>
      <c r="P44" s="21" t="s">
        <v>125</v>
      </c>
      <c r="Q44" s="16"/>
      <c r="R44" s="16">
        <v>11</v>
      </c>
      <c r="S44" s="16"/>
      <c r="T44" s="16"/>
      <c r="U44" s="16"/>
      <c r="V44" s="16"/>
      <c r="W44" s="16"/>
      <c r="X44" s="16"/>
      <c r="Y44" s="16"/>
      <c r="Z44" s="16"/>
      <c r="AA44" s="16"/>
    </row>
    <row r="45" spans="1:27" ht="15.75" customHeight="1"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 spans="1:27" ht="15.75" customHeight="1"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 spans="1:27" ht="15.75" customHeight="1">
      <c r="N47" s="16"/>
      <c r="O47" s="19" t="s">
        <v>13</v>
      </c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spans="1:27" ht="15.75" customHeight="1">
      <c r="N48" s="16"/>
      <c r="O48" s="16"/>
      <c r="P48" s="20" t="s">
        <v>14</v>
      </c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spans="14:27" ht="15.6">
      <c r="N49" s="16"/>
      <c r="O49" s="16"/>
      <c r="P49" s="20" t="s">
        <v>15</v>
      </c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spans="14:27" ht="15.6">
      <c r="N50" s="16"/>
      <c r="O50" s="16"/>
      <c r="P50" s="20" t="s">
        <v>16</v>
      </c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spans="14:27" ht="14.4">
      <c r="N51" s="16"/>
      <c r="O51" s="23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spans="14:27" ht="13.2">
      <c r="N52" s="16"/>
      <c r="O52" s="17" t="s">
        <v>111</v>
      </c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 spans="14:27" ht="13.2"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spans="14:27" ht="13.2">
      <c r="N54" s="16"/>
      <c r="O54" s="16">
        <v>1</v>
      </c>
      <c r="P54" s="21" t="s">
        <v>132</v>
      </c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 spans="14:27" ht="13.2">
      <c r="N55" s="16"/>
      <c r="O55" s="16">
        <v>2</v>
      </c>
      <c r="P55" s="21" t="s">
        <v>130</v>
      </c>
      <c r="Q55" s="16"/>
      <c r="R55" s="21" t="s">
        <v>134</v>
      </c>
      <c r="S55" s="16"/>
      <c r="T55" s="16"/>
      <c r="U55" s="16"/>
      <c r="V55" s="16"/>
      <c r="W55" s="16"/>
      <c r="X55" s="16"/>
      <c r="Y55" s="16"/>
      <c r="Z55" s="16"/>
      <c r="AA55" s="16"/>
    </row>
    <row r="56" spans="14:27" ht="13.2">
      <c r="N56" s="16"/>
      <c r="O56" s="16">
        <v>3</v>
      </c>
      <c r="P56" s="21" t="s">
        <v>133</v>
      </c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 spans="14:27" ht="13.2"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 spans="14:27" ht="13.2"/>
    <row r="59" spans="14:27" ht="13.2"/>
    <row r="60" spans="14:27" ht="13.2"/>
    <row r="61" spans="14:27" ht="13.2"/>
    <row r="62" spans="14:27" ht="13.2"/>
    <row r="63" spans="14:27" ht="13.2"/>
    <row r="64" spans="14:27" ht="13.2"/>
    <row r="65" ht="13.2"/>
    <row r="66" ht="13.2"/>
    <row r="67" ht="13.2"/>
    <row r="68" ht="13.2"/>
    <row r="69" ht="13.2"/>
    <row r="70" ht="13.2"/>
    <row r="71" ht="13.2"/>
    <row r="72" ht="13.2"/>
    <row r="73" ht="13.2"/>
    <row r="74" ht="13.2"/>
    <row r="75" ht="13.2"/>
    <row r="76" ht="13.2"/>
    <row r="77" ht="13.2"/>
    <row r="78" ht="13.2"/>
    <row r="79" ht="13.2"/>
    <row r="80" ht="13.2"/>
    <row r="81" ht="13.2"/>
    <row r="82" ht="13.2"/>
    <row r="83" ht="13.2"/>
    <row r="84" ht="13.2"/>
    <row r="85" ht="13.2"/>
    <row r="86" ht="13.2"/>
    <row r="87" ht="13.2"/>
    <row r="88" ht="13.2"/>
    <row r="89" ht="13.2"/>
    <row r="90" ht="13.2"/>
    <row r="91" ht="13.2"/>
    <row r="92" ht="13.2"/>
    <row r="93" ht="13.2"/>
    <row r="94" ht="13.2"/>
    <row r="95" ht="13.2"/>
    <row r="96" ht="13.2"/>
    <row r="97" ht="13.2"/>
    <row r="98" ht="13.2"/>
    <row r="99" ht="13.2"/>
    <row r="100" ht="13.2"/>
    <row r="101" ht="13.2"/>
    <row r="102" ht="13.2"/>
    <row r="103" ht="13.2"/>
    <row r="104" ht="13.2"/>
    <row r="105" ht="13.2"/>
    <row r="106" ht="13.2"/>
    <row r="107" ht="13.2"/>
    <row r="108" ht="13.2"/>
    <row r="109" ht="13.2"/>
    <row r="110" ht="13.2"/>
    <row r="111" ht="13.2"/>
    <row r="112" ht="13.2"/>
    <row r="113" ht="13.2"/>
    <row r="114" ht="13.2"/>
    <row r="115" ht="13.2"/>
    <row r="116" ht="13.2"/>
    <row r="117" ht="13.2"/>
    <row r="118" ht="13.2"/>
    <row r="119" ht="13.2"/>
    <row r="120" ht="13.2"/>
    <row r="121" ht="13.2"/>
    <row r="122" ht="13.2"/>
    <row r="123" ht="13.2"/>
    <row r="124" ht="13.2"/>
    <row r="125" ht="13.2"/>
    <row r="126" ht="13.2"/>
    <row r="127" ht="13.2"/>
    <row r="128" ht="13.2"/>
    <row r="129" ht="13.2"/>
    <row r="130" ht="13.2"/>
    <row r="131" ht="13.2"/>
    <row r="132" ht="13.2"/>
    <row r="133" ht="13.2"/>
    <row r="134" ht="13.2"/>
    <row r="135" ht="13.2"/>
    <row r="136" ht="13.2"/>
    <row r="137" ht="13.2"/>
    <row r="138" ht="13.2"/>
    <row r="139" ht="13.2"/>
    <row r="140" ht="13.2"/>
    <row r="141" ht="13.2"/>
    <row r="142" ht="13.2"/>
    <row r="143" ht="13.2"/>
    <row r="144" ht="13.2"/>
    <row r="145" ht="13.2"/>
    <row r="146" ht="13.2"/>
    <row r="147" ht="13.2"/>
    <row r="148" ht="13.2"/>
    <row r="149" ht="13.2"/>
    <row r="150" ht="13.2"/>
    <row r="151" ht="13.2"/>
    <row r="152" ht="13.2"/>
    <row r="153" ht="13.2"/>
    <row r="154" ht="13.2"/>
    <row r="155" ht="13.2"/>
    <row r="156" ht="13.2"/>
    <row r="157" ht="13.2"/>
    <row r="158" ht="13.2"/>
    <row r="159" ht="13.2"/>
    <row r="160" ht="13.2"/>
    <row r="161" ht="13.2"/>
    <row r="162" ht="13.2"/>
    <row r="163" ht="13.2"/>
    <row r="164" ht="13.2"/>
    <row r="165" ht="13.2"/>
    <row r="166" ht="13.2"/>
    <row r="167" ht="13.2"/>
    <row r="168" ht="13.2"/>
    <row r="169" ht="13.2"/>
    <row r="170" ht="13.2"/>
    <row r="171" ht="13.2"/>
    <row r="172" ht="13.2"/>
    <row r="173" ht="13.2"/>
    <row r="174" ht="13.2"/>
    <row r="175" ht="13.2"/>
    <row r="176" ht="13.2"/>
    <row r="177" ht="13.2"/>
    <row r="178" ht="13.2"/>
    <row r="179" ht="13.2"/>
    <row r="180" ht="13.2"/>
    <row r="181" ht="13.2"/>
    <row r="182" ht="13.2"/>
    <row r="183" ht="13.2"/>
    <row r="184" ht="13.2"/>
    <row r="185" ht="13.2"/>
    <row r="186" ht="13.2"/>
    <row r="187" ht="13.2"/>
    <row r="188" ht="13.2"/>
    <row r="189" ht="13.2"/>
    <row r="190" ht="13.2"/>
    <row r="191" ht="13.2"/>
    <row r="192" ht="13.2"/>
    <row r="193" ht="13.2"/>
    <row r="194" ht="13.2"/>
    <row r="195" ht="13.2"/>
    <row r="196" ht="13.2"/>
    <row r="197" ht="13.2"/>
    <row r="198" ht="13.2"/>
    <row r="199" ht="13.2"/>
    <row r="200" ht="13.2"/>
    <row r="201" ht="13.2"/>
    <row r="202" ht="13.2"/>
    <row r="203" ht="13.2"/>
    <row r="204" ht="13.2"/>
    <row r="205" ht="13.2"/>
    <row r="206" ht="13.2"/>
    <row r="207" ht="13.2"/>
    <row r="208" ht="13.2"/>
    <row r="209" ht="13.2"/>
    <row r="210" ht="13.2"/>
    <row r="211" ht="13.2"/>
    <row r="212" ht="13.2"/>
    <row r="213" ht="13.2"/>
    <row r="214" ht="13.2"/>
    <row r="215" ht="13.2"/>
    <row r="216" ht="13.2"/>
    <row r="217" ht="13.2"/>
    <row r="218" ht="13.2"/>
    <row r="219" ht="13.2"/>
    <row r="220" ht="13.2"/>
    <row r="221" ht="13.2"/>
    <row r="222" ht="13.2"/>
    <row r="223" ht="13.2"/>
    <row r="224" ht="13.2"/>
    <row r="225" ht="13.2"/>
    <row r="226" ht="13.2"/>
    <row r="227" ht="13.2"/>
    <row r="228" ht="13.2"/>
    <row r="229" ht="13.2"/>
    <row r="230" ht="13.2"/>
    <row r="231" ht="13.2"/>
    <row r="232" ht="13.2"/>
    <row r="233" ht="13.2"/>
    <row r="234" ht="13.2"/>
    <row r="235" ht="13.2"/>
    <row r="236" ht="13.2"/>
    <row r="237" ht="13.2"/>
    <row r="238" ht="13.2"/>
    <row r="239" ht="13.2"/>
    <row r="240" ht="13.2"/>
    <row r="241" ht="13.2"/>
    <row r="242" ht="13.2"/>
    <row r="243" ht="13.2"/>
    <row r="244" ht="13.2"/>
    <row r="245" ht="13.2"/>
    <row r="246" ht="13.2"/>
    <row r="247" ht="13.2"/>
    <row r="248" ht="13.2"/>
    <row r="249" ht="13.2"/>
    <row r="250" ht="13.2"/>
    <row r="251" ht="13.2"/>
    <row r="252" ht="13.2"/>
    <row r="253" ht="13.2"/>
    <row r="254" ht="13.2"/>
    <row r="255" ht="13.2"/>
    <row r="256" ht="13.2"/>
    <row r="257" ht="13.2"/>
    <row r="258" ht="13.2"/>
    <row r="259" ht="13.2"/>
    <row r="260" ht="13.2"/>
    <row r="261" ht="13.2"/>
    <row r="262" ht="13.2"/>
    <row r="263" ht="13.2"/>
    <row r="264" ht="13.2"/>
    <row r="265" ht="13.2"/>
    <row r="266" ht="13.2"/>
    <row r="267" ht="13.2"/>
    <row r="268" ht="13.2"/>
    <row r="269" ht="13.2"/>
    <row r="270" ht="13.2"/>
    <row r="271" ht="13.2"/>
    <row r="272" ht="13.2"/>
    <row r="273" ht="13.2"/>
    <row r="274" ht="13.2"/>
    <row r="275" ht="13.2"/>
    <row r="276" ht="13.2"/>
    <row r="277" ht="13.2"/>
    <row r="278" ht="13.2"/>
    <row r="279" ht="13.2"/>
    <row r="280" ht="13.2"/>
    <row r="281" ht="13.2"/>
    <row r="282" ht="13.2"/>
    <row r="283" ht="13.2"/>
    <row r="284" ht="13.2"/>
    <row r="285" ht="13.2"/>
    <row r="286" ht="13.2"/>
    <row r="287" ht="13.2"/>
    <row r="288" ht="13.2"/>
    <row r="289" ht="13.2"/>
    <row r="290" ht="13.2"/>
    <row r="291" ht="13.2"/>
    <row r="292" ht="13.2"/>
    <row r="293" ht="13.2"/>
    <row r="294" ht="13.2"/>
    <row r="295" ht="13.2"/>
    <row r="296" ht="13.2"/>
    <row r="297" ht="13.2"/>
    <row r="298" ht="13.2"/>
    <row r="299" ht="13.2"/>
    <row r="300" ht="13.2"/>
    <row r="301" ht="13.2"/>
    <row r="302" ht="13.2"/>
    <row r="303" ht="13.2"/>
    <row r="304" ht="13.2"/>
    <row r="305" ht="13.2"/>
    <row r="306" ht="13.2"/>
    <row r="307" ht="13.2"/>
    <row r="308" ht="13.2"/>
    <row r="309" ht="13.2"/>
    <row r="310" ht="13.2"/>
    <row r="311" ht="13.2"/>
    <row r="312" ht="13.2"/>
    <row r="313" ht="13.2"/>
    <row r="314" ht="13.2"/>
    <row r="315" ht="13.2"/>
    <row r="316" ht="13.2"/>
    <row r="317" ht="13.2"/>
    <row r="318" ht="13.2"/>
    <row r="319" ht="13.2"/>
    <row r="320" ht="13.2"/>
    <row r="321" ht="13.2"/>
    <row r="322" ht="13.2"/>
    <row r="323" ht="13.2"/>
    <row r="324" ht="13.2"/>
    <row r="325" ht="13.2"/>
    <row r="326" ht="13.2"/>
    <row r="327" ht="13.2"/>
    <row r="328" ht="13.2"/>
    <row r="329" ht="13.2"/>
    <row r="330" ht="13.2"/>
    <row r="331" ht="13.2"/>
    <row r="332" ht="13.2"/>
    <row r="333" ht="13.2"/>
    <row r="334" ht="13.2"/>
    <row r="335" ht="13.2"/>
    <row r="336" ht="13.2"/>
    <row r="337" ht="13.2"/>
    <row r="338" ht="13.2"/>
    <row r="339" ht="13.2"/>
    <row r="340" ht="13.2"/>
    <row r="341" ht="13.2"/>
    <row r="342" ht="13.2"/>
    <row r="343" ht="13.2"/>
    <row r="344" ht="13.2"/>
    <row r="345" ht="13.2"/>
    <row r="346" ht="13.2"/>
    <row r="347" ht="13.2"/>
    <row r="348" ht="13.2"/>
    <row r="349" ht="13.2"/>
    <row r="350" ht="13.2"/>
    <row r="351" ht="13.2"/>
    <row r="352" ht="13.2"/>
    <row r="353" ht="13.2"/>
    <row r="354" ht="13.2"/>
    <row r="355" ht="13.2"/>
    <row r="356" ht="13.2"/>
    <row r="357" ht="13.2"/>
    <row r="358" ht="13.2"/>
    <row r="359" ht="13.2"/>
    <row r="360" ht="13.2"/>
    <row r="361" ht="13.2"/>
    <row r="362" ht="13.2"/>
    <row r="363" ht="13.2"/>
    <row r="364" ht="13.2"/>
    <row r="365" ht="13.2"/>
    <row r="366" ht="13.2"/>
    <row r="367" ht="13.2"/>
    <row r="368" ht="13.2"/>
    <row r="369" ht="13.2"/>
    <row r="370" ht="13.2"/>
    <row r="371" ht="13.2"/>
    <row r="372" ht="13.2"/>
    <row r="373" ht="13.2"/>
    <row r="374" ht="13.2"/>
    <row r="375" ht="13.2"/>
    <row r="376" ht="13.2"/>
    <row r="377" ht="13.2"/>
    <row r="378" ht="13.2"/>
    <row r="379" ht="13.2"/>
    <row r="380" ht="13.2"/>
    <row r="381" ht="13.2"/>
    <row r="382" ht="13.2"/>
    <row r="383" ht="13.2"/>
    <row r="384" ht="13.2"/>
    <row r="385" ht="13.2"/>
    <row r="386" ht="13.2"/>
    <row r="387" ht="13.2"/>
    <row r="388" ht="13.2"/>
    <row r="389" ht="13.2"/>
    <row r="390" ht="13.2"/>
    <row r="391" ht="13.2"/>
    <row r="392" ht="13.2"/>
    <row r="393" ht="13.2"/>
    <row r="394" ht="13.2"/>
    <row r="395" ht="13.2"/>
    <row r="396" ht="13.2"/>
    <row r="397" ht="13.2"/>
    <row r="398" ht="13.2"/>
    <row r="399" ht="13.2"/>
    <row r="400" ht="13.2"/>
    <row r="401" ht="13.2"/>
    <row r="402" ht="13.2"/>
    <row r="403" ht="13.2"/>
    <row r="404" ht="13.2"/>
    <row r="405" ht="13.2"/>
    <row r="406" ht="13.2"/>
    <row r="407" ht="13.2"/>
    <row r="408" ht="13.2"/>
    <row r="409" ht="13.2"/>
    <row r="410" ht="13.2"/>
    <row r="411" ht="13.2"/>
    <row r="412" ht="13.2"/>
    <row r="413" ht="13.2"/>
    <row r="414" ht="13.2"/>
    <row r="415" ht="13.2"/>
    <row r="416" ht="13.2"/>
    <row r="417" ht="13.2"/>
    <row r="418" ht="13.2"/>
    <row r="419" ht="13.2"/>
    <row r="420" ht="13.2"/>
    <row r="421" ht="13.2"/>
    <row r="422" ht="13.2"/>
    <row r="423" ht="13.2"/>
    <row r="424" ht="13.2"/>
    <row r="425" ht="13.2"/>
    <row r="426" ht="13.2"/>
    <row r="427" ht="13.2"/>
    <row r="428" ht="13.2"/>
    <row r="429" ht="13.2"/>
    <row r="430" ht="13.2"/>
    <row r="431" ht="13.2"/>
    <row r="432" ht="13.2"/>
    <row r="433" ht="13.2"/>
    <row r="434" ht="13.2"/>
    <row r="435" ht="13.2"/>
    <row r="436" ht="13.2"/>
    <row r="437" ht="13.2"/>
    <row r="438" ht="13.2"/>
    <row r="439" ht="13.2"/>
    <row r="440" ht="13.2"/>
    <row r="441" ht="13.2"/>
    <row r="442" ht="13.2"/>
    <row r="443" ht="13.2"/>
    <row r="444" ht="13.2"/>
    <row r="445" ht="13.2"/>
    <row r="446" ht="13.2"/>
    <row r="447" ht="13.2"/>
    <row r="448" ht="13.2"/>
    <row r="449" ht="13.2"/>
    <row r="450" ht="13.2"/>
    <row r="451" ht="13.2"/>
    <row r="452" ht="13.2"/>
    <row r="453" ht="13.2"/>
    <row r="454" ht="13.2"/>
    <row r="455" ht="13.2"/>
    <row r="456" ht="13.2"/>
    <row r="457" ht="13.2"/>
    <row r="458" ht="13.2"/>
    <row r="459" ht="13.2"/>
    <row r="460" ht="13.2"/>
    <row r="461" ht="13.2"/>
    <row r="462" ht="13.2"/>
    <row r="463" ht="13.2"/>
    <row r="464" ht="13.2"/>
    <row r="465" ht="13.2"/>
    <row r="466" ht="13.2"/>
    <row r="467" ht="13.2"/>
    <row r="468" ht="13.2"/>
    <row r="469" ht="13.2"/>
    <row r="470" ht="13.2"/>
    <row r="471" ht="13.2"/>
    <row r="472" ht="13.2"/>
    <row r="473" ht="13.2"/>
    <row r="474" ht="13.2"/>
    <row r="475" ht="13.2"/>
    <row r="476" ht="13.2"/>
    <row r="477" ht="13.2"/>
    <row r="478" ht="13.2"/>
    <row r="479" ht="13.2"/>
    <row r="480" ht="13.2"/>
    <row r="481" ht="13.2"/>
    <row r="482" ht="13.2"/>
    <row r="483" ht="13.2"/>
    <row r="484" ht="13.2"/>
    <row r="485" ht="13.2"/>
    <row r="486" ht="13.2"/>
    <row r="487" ht="13.2"/>
    <row r="488" ht="13.2"/>
    <row r="489" ht="13.2"/>
    <row r="490" ht="13.2"/>
    <row r="491" ht="13.2"/>
    <row r="492" ht="13.2"/>
    <row r="493" ht="13.2"/>
    <row r="494" ht="13.2"/>
    <row r="495" ht="13.2"/>
    <row r="496" ht="13.2"/>
    <row r="497" ht="13.2"/>
    <row r="498" ht="13.2"/>
    <row r="499" ht="13.2"/>
    <row r="500" ht="13.2"/>
    <row r="501" ht="13.2"/>
    <row r="502" ht="13.2"/>
    <row r="503" ht="13.2"/>
    <row r="504" ht="13.2"/>
    <row r="505" ht="13.2"/>
    <row r="506" ht="13.2"/>
    <row r="507" ht="13.2"/>
    <row r="508" ht="13.2"/>
    <row r="509" ht="13.2"/>
    <row r="510" ht="13.2"/>
    <row r="511" ht="13.2"/>
    <row r="512" ht="13.2"/>
    <row r="513" ht="13.2"/>
    <row r="514" ht="13.2"/>
    <row r="515" ht="13.2"/>
    <row r="516" ht="13.2"/>
    <row r="517" ht="13.2"/>
    <row r="518" ht="13.2"/>
    <row r="519" ht="13.2"/>
    <row r="520" ht="13.2"/>
    <row r="521" ht="13.2"/>
    <row r="522" ht="13.2"/>
    <row r="523" ht="13.2"/>
    <row r="524" ht="13.2"/>
    <row r="525" ht="13.2"/>
    <row r="526" ht="13.2"/>
    <row r="527" ht="13.2"/>
    <row r="528" ht="13.2"/>
    <row r="529" ht="13.2"/>
    <row r="530" ht="13.2"/>
    <row r="531" ht="13.2"/>
    <row r="532" ht="13.2"/>
    <row r="533" ht="13.2"/>
    <row r="534" ht="13.2"/>
    <row r="535" ht="13.2"/>
    <row r="536" ht="13.2"/>
    <row r="537" ht="13.2"/>
    <row r="538" ht="13.2"/>
    <row r="539" ht="13.2"/>
    <row r="540" ht="13.2"/>
    <row r="541" ht="13.2"/>
    <row r="542" ht="13.2"/>
    <row r="543" ht="13.2"/>
    <row r="544" ht="13.2"/>
    <row r="545" ht="13.2"/>
    <row r="546" ht="13.2"/>
    <row r="547" ht="13.2"/>
    <row r="548" ht="13.2"/>
    <row r="549" ht="13.2"/>
    <row r="550" ht="13.2"/>
    <row r="551" ht="13.2"/>
    <row r="552" ht="13.2"/>
    <row r="553" ht="13.2"/>
    <row r="554" ht="13.2"/>
    <row r="555" ht="13.2"/>
    <row r="556" ht="13.2"/>
    <row r="557" ht="13.2"/>
    <row r="558" ht="13.2"/>
    <row r="559" ht="13.2"/>
    <row r="560" ht="13.2"/>
    <row r="561" ht="13.2"/>
    <row r="562" ht="13.2"/>
    <row r="563" ht="13.2"/>
    <row r="564" ht="13.2"/>
    <row r="565" ht="13.2"/>
    <row r="566" ht="13.2"/>
    <row r="567" ht="13.2"/>
    <row r="568" ht="13.2"/>
    <row r="569" ht="13.2"/>
    <row r="570" ht="13.2"/>
    <row r="571" ht="13.2"/>
    <row r="572" ht="13.2"/>
    <row r="573" ht="13.2"/>
    <row r="574" ht="13.2"/>
    <row r="575" ht="13.2"/>
    <row r="576" ht="13.2"/>
    <row r="577" ht="13.2"/>
    <row r="578" ht="13.2"/>
    <row r="579" ht="13.2"/>
    <row r="580" ht="13.2"/>
    <row r="581" ht="13.2"/>
    <row r="582" ht="13.2"/>
    <row r="583" ht="13.2"/>
    <row r="584" ht="13.2"/>
    <row r="585" ht="13.2"/>
    <row r="586" ht="13.2"/>
    <row r="587" ht="13.2"/>
    <row r="588" ht="13.2"/>
    <row r="589" ht="13.2"/>
    <row r="590" ht="13.2"/>
    <row r="591" ht="13.2"/>
    <row r="592" ht="13.2"/>
    <row r="593" ht="13.2"/>
    <row r="594" ht="13.2"/>
    <row r="595" ht="13.2"/>
    <row r="596" ht="13.2"/>
    <row r="597" ht="13.2"/>
    <row r="598" ht="13.2"/>
    <row r="599" ht="13.2"/>
    <row r="600" ht="13.2"/>
    <row r="601" ht="13.2"/>
    <row r="602" ht="13.2"/>
    <row r="603" ht="13.2"/>
    <row r="604" ht="13.2"/>
    <row r="605" ht="13.2"/>
    <row r="606" ht="13.2"/>
    <row r="607" ht="13.2"/>
    <row r="608" ht="13.2"/>
    <row r="609" ht="13.2"/>
    <row r="610" ht="13.2"/>
    <row r="611" ht="13.2"/>
    <row r="612" ht="13.2"/>
    <row r="613" ht="13.2"/>
    <row r="614" ht="13.2"/>
    <row r="615" ht="13.2"/>
    <row r="616" ht="13.2"/>
    <row r="617" ht="13.2"/>
    <row r="618" ht="13.2"/>
    <row r="619" ht="13.2"/>
    <row r="620" ht="13.2"/>
    <row r="621" ht="13.2"/>
    <row r="622" ht="13.2"/>
    <row r="623" ht="13.2"/>
    <row r="624" ht="13.2"/>
    <row r="625" ht="13.2"/>
    <row r="626" ht="13.2"/>
    <row r="627" ht="13.2"/>
    <row r="628" ht="13.2"/>
    <row r="629" ht="13.2"/>
    <row r="630" ht="13.2"/>
    <row r="631" ht="13.2"/>
    <row r="632" ht="13.2"/>
    <row r="633" ht="13.2"/>
    <row r="634" ht="13.2"/>
    <row r="635" ht="13.2"/>
    <row r="636" ht="13.2"/>
    <row r="637" ht="13.2"/>
    <row r="638" ht="13.2"/>
    <row r="639" ht="13.2"/>
    <row r="640" ht="13.2"/>
    <row r="641" ht="13.2"/>
    <row r="642" ht="13.2"/>
    <row r="643" ht="13.2"/>
    <row r="644" ht="13.2"/>
    <row r="645" ht="13.2"/>
    <row r="646" ht="13.2"/>
    <row r="647" ht="13.2"/>
    <row r="648" ht="13.2"/>
    <row r="649" ht="13.2"/>
    <row r="650" ht="13.2"/>
    <row r="651" ht="13.2"/>
    <row r="652" ht="13.2"/>
    <row r="653" ht="13.2"/>
    <row r="654" ht="13.2"/>
    <row r="655" ht="13.2"/>
    <row r="656" ht="13.2"/>
    <row r="657" ht="13.2"/>
    <row r="658" ht="13.2"/>
    <row r="659" ht="13.2"/>
    <row r="660" ht="13.2"/>
    <row r="661" ht="13.2"/>
    <row r="662" ht="13.2"/>
    <row r="663" ht="13.2"/>
    <row r="664" ht="13.2"/>
    <row r="665" ht="13.2"/>
    <row r="666" ht="13.2"/>
    <row r="667" ht="13.2"/>
    <row r="668" ht="13.2"/>
    <row r="669" ht="13.2"/>
    <row r="670" ht="13.2"/>
    <row r="671" ht="13.2"/>
    <row r="672" ht="13.2"/>
    <row r="673" ht="13.2"/>
    <row r="674" ht="13.2"/>
    <row r="675" ht="13.2"/>
    <row r="676" ht="13.2"/>
    <row r="677" ht="13.2"/>
    <row r="678" ht="13.2"/>
    <row r="679" ht="13.2"/>
    <row r="680" ht="13.2"/>
    <row r="681" ht="13.2"/>
    <row r="682" ht="13.2"/>
    <row r="683" ht="13.2"/>
    <row r="684" ht="13.2"/>
    <row r="685" ht="13.2"/>
    <row r="686" ht="13.2"/>
    <row r="687" ht="13.2"/>
    <row r="688" ht="13.2"/>
    <row r="689" ht="13.2"/>
    <row r="690" ht="13.2"/>
    <row r="691" ht="13.2"/>
    <row r="692" ht="13.2"/>
    <row r="693" ht="13.2"/>
    <row r="694" ht="13.2"/>
    <row r="695" ht="13.2"/>
    <row r="696" ht="13.2"/>
    <row r="697" ht="13.2"/>
    <row r="698" ht="13.2"/>
    <row r="699" ht="13.2"/>
    <row r="700" ht="13.2"/>
    <row r="701" ht="13.2"/>
    <row r="702" ht="13.2"/>
    <row r="703" ht="13.2"/>
    <row r="704" ht="13.2"/>
    <row r="705" ht="13.2"/>
    <row r="706" ht="13.2"/>
    <row r="707" ht="13.2"/>
    <row r="708" ht="13.2"/>
    <row r="709" ht="13.2"/>
    <row r="710" ht="13.2"/>
    <row r="711" ht="13.2"/>
    <row r="712" ht="13.2"/>
    <row r="713" ht="13.2"/>
    <row r="714" ht="13.2"/>
    <row r="715" ht="13.2"/>
    <row r="716" ht="13.2"/>
    <row r="717" ht="13.2"/>
    <row r="718" ht="13.2"/>
    <row r="719" ht="13.2"/>
    <row r="720" ht="13.2"/>
    <row r="721" ht="13.2"/>
    <row r="722" ht="13.2"/>
    <row r="723" ht="13.2"/>
    <row r="724" ht="13.2"/>
    <row r="725" ht="13.2"/>
    <row r="726" ht="13.2"/>
    <row r="727" ht="13.2"/>
    <row r="728" ht="13.2"/>
    <row r="729" ht="13.2"/>
    <row r="730" ht="13.2"/>
    <row r="731" ht="13.2"/>
    <row r="732" ht="13.2"/>
    <row r="733" ht="13.2"/>
    <row r="734" ht="13.2"/>
    <row r="735" ht="13.2"/>
    <row r="736" ht="13.2"/>
    <row r="737" ht="13.2"/>
    <row r="738" ht="13.2"/>
    <row r="739" ht="13.2"/>
    <row r="740" ht="13.2"/>
    <row r="741" ht="13.2"/>
    <row r="742" ht="13.2"/>
    <row r="743" ht="13.2"/>
    <row r="744" ht="13.2"/>
    <row r="745" ht="13.2"/>
    <row r="746" ht="13.2"/>
    <row r="747" ht="13.2"/>
    <row r="748" ht="13.2"/>
    <row r="749" ht="13.2"/>
    <row r="750" ht="13.2"/>
    <row r="751" ht="13.2"/>
    <row r="752" ht="13.2"/>
    <row r="753" ht="13.2"/>
    <row r="754" ht="13.2"/>
    <row r="755" ht="13.2"/>
    <row r="756" ht="13.2"/>
    <row r="757" ht="13.2"/>
    <row r="758" ht="13.2"/>
    <row r="759" ht="13.2"/>
    <row r="760" ht="13.2"/>
    <row r="761" ht="13.2"/>
    <row r="762" ht="13.2"/>
    <row r="763" ht="13.2"/>
    <row r="764" ht="13.2"/>
    <row r="765" ht="13.2"/>
    <row r="766" ht="13.2"/>
    <row r="767" ht="13.2"/>
    <row r="768" ht="13.2"/>
    <row r="769" ht="13.2"/>
    <row r="770" ht="13.2"/>
    <row r="771" ht="13.2"/>
    <row r="772" ht="13.2"/>
    <row r="773" ht="13.2"/>
    <row r="774" ht="13.2"/>
    <row r="775" ht="13.2"/>
    <row r="776" ht="13.2"/>
    <row r="777" ht="13.2"/>
    <row r="778" ht="13.2"/>
    <row r="779" ht="13.2"/>
    <row r="780" ht="13.2"/>
    <row r="781" ht="13.2"/>
    <row r="782" ht="13.2"/>
    <row r="783" ht="13.2"/>
    <row r="784" ht="13.2"/>
    <row r="785" ht="13.2"/>
    <row r="786" ht="13.2"/>
    <row r="787" ht="13.2"/>
    <row r="788" ht="13.2"/>
    <row r="789" ht="13.2"/>
    <row r="790" ht="13.2"/>
    <row r="791" ht="13.2"/>
    <row r="792" ht="13.2"/>
    <row r="793" ht="13.2"/>
    <row r="794" ht="13.2"/>
    <row r="795" ht="13.2"/>
    <row r="796" ht="13.2"/>
    <row r="797" ht="13.2"/>
    <row r="798" ht="13.2"/>
    <row r="799" ht="13.2"/>
    <row r="800" ht="13.2"/>
    <row r="801" ht="13.2"/>
    <row r="802" ht="13.2"/>
    <row r="803" ht="13.2"/>
    <row r="804" ht="13.2"/>
    <row r="805" ht="13.2"/>
    <row r="806" ht="13.2"/>
    <row r="807" ht="13.2"/>
    <row r="808" ht="13.2"/>
    <row r="809" ht="13.2"/>
    <row r="810" ht="13.2"/>
    <row r="811" ht="13.2"/>
    <row r="812" ht="13.2"/>
    <row r="813" ht="13.2"/>
    <row r="814" ht="13.2"/>
    <row r="815" ht="13.2"/>
    <row r="816" ht="13.2"/>
    <row r="817" ht="13.2"/>
    <row r="818" ht="13.2"/>
    <row r="819" ht="13.2"/>
    <row r="820" ht="13.2"/>
    <row r="821" ht="13.2"/>
    <row r="822" ht="13.2"/>
    <row r="823" ht="13.2"/>
    <row r="824" ht="13.2"/>
    <row r="825" ht="13.2"/>
    <row r="826" ht="13.2"/>
    <row r="827" ht="13.2"/>
    <row r="828" ht="13.2"/>
    <row r="829" ht="13.2"/>
    <row r="830" ht="13.2"/>
    <row r="831" ht="13.2"/>
    <row r="832" ht="13.2"/>
    <row r="833" ht="13.2"/>
    <row r="834" ht="13.2"/>
    <row r="835" ht="13.2"/>
    <row r="836" ht="13.2"/>
    <row r="837" ht="13.2"/>
    <row r="838" ht="13.2"/>
    <row r="839" ht="13.2"/>
    <row r="840" ht="13.2"/>
    <row r="841" ht="13.2"/>
    <row r="842" ht="13.2"/>
    <row r="843" ht="13.2"/>
    <row r="844" ht="13.2"/>
    <row r="845" ht="13.2"/>
    <row r="846" ht="13.2"/>
    <row r="847" ht="13.2"/>
    <row r="848" ht="13.2"/>
    <row r="849" ht="13.2"/>
    <row r="850" ht="13.2"/>
    <row r="851" ht="13.2"/>
    <row r="852" ht="13.2"/>
    <row r="853" ht="13.2"/>
    <row r="854" ht="13.2"/>
    <row r="855" ht="13.2"/>
    <row r="856" ht="13.2"/>
    <row r="857" ht="13.2"/>
    <row r="858" ht="13.2"/>
    <row r="859" ht="13.2"/>
    <row r="860" ht="13.2"/>
    <row r="861" ht="13.2"/>
    <row r="862" ht="13.2"/>
    <row r="863" ht="13.2"/>
    <row r="864" ht="13.2"/>
    <row r="865" ht="13.2"/>
    <row r="866" ht="13.2"/>
    <row r="867" ht="13.2"/>
    <row r="868" ht="13.2"/>
    <row r="869" ht="13.2"/>
    <row r="870" ht="13.2"/>
    <row r="871" ht="13.2"/>
    <row r="872" ht="13.2"/>
    <row r="873" ht="13.2"/>
    <row r="874" ht="13.2"/>
    <row r="875" ht="13.2"/>
    <row r="876" ht="13.2"/>
    <row r="877" ht="13.2"/>
    <row r="878" ht="13.2"/>
    <row r="879" ht="13.2"/>
    <row r="880" ht="13.2"/>
    <row r="881" ht="13.2"/>
    <row r="882" ht="13.2"/>
    <row r="883" ht="13.2"/>
    <row r="884" ht="13.2"/>
    <row r="885" ht="13.2"/>
    <row r="886" ht="13.2"/>
    <row r="887" ht="13.2"/>
    <row r="888" ht="13.2"/>
    <row r="889" ht="13.2"/>
    <row r="890" ht="13.2"/>
    <row r="891" ht="13.2"/>
    <row r="892" ht="13.2"/>
    <row r="893" ht="13.2"/>
    <row r="894" ht="13.2"/>
    <row r="895" ht="13.2"/>
    <row r="896" ht="13.2"/>
    <row r="897" ht="13.2"/>
    <row r="898" ht="13.2"/>
    <row r="899" ht="13.2"/>
    <row r="900" ht="13.2"/>
    <row r="901" ht="13.2"/>
    <row r="902" ht="13.2"/>
    <row r="903" ht="13.2"/>
    <row r="904" ht="13.2"/>
    <row r="905" ht="13.2"/>
    <row r="906" ht="13.2"/>
    <row r="907" ht="13.2"/>
    <row r="908" ht="13.2"/>
    <row r="909" ht="13.2"/>
    <row r="910" ht="13.2"/>
    <row r="911" ht="13.2"/>
    <row r="912" ht="13.2"/>
    <row r="913" ht="13.2"/>
    <row r="914" ht="13.2"/>
    <row r="915" ht="13.2"/>
    <row r="916" ht="13.2"/>
    <row r="917" ht="13.2"/>
    <row r="918" ht="13.2"/>
    <row r="919" ht="13.2"/>
    <row r="920" ht="13.2"/>
    <row r="921" ht="13.2"/>
    <row r="922" ht="13.2"/>
    <row r="923" ht="13.2"/>
    <row r="924" ht="13.2"/>
    <row r="925" ht="13.2"/>
    <row r="926" ht="13.2"/>
    <row r="927" ht="13.2"/>
    <row r="928" ht="13.2"/>
    <row r="929" ht="13.2"/>
    <row r="930" ht="13.2"/>
    <row r="931" ht="13.2"/>
    <row r="932" ht="13.2"/>
    <row r="933" ht="13.2"/>
    <row r="934" ht="13.2"/>
    <row r="935" ht="13.2"/>
    <row r="936" ht="13.2"/>
    <row r="937" ht="13.2"/>
    <row r="938" ht="13.2"/>
    <row r="939" ht="13.2"/>
    <row r="940" ht="13.2"/>
    <row r="941" ht="13.2"/>
    <row r="942" ht="13.2"/>
    <row r="943" ht="13.2"/>
    <row r="944" ht="13.2"/>
    <row r="945" ht="13.2"/>
    <row r="946" ht="13.2"/>
    <row r="947" ht="13.2"/>
    <row r="948" ht="13.2"/>
    <row r="949" ht="13.2"/>
    <row r="950" ht="13.2"/>
    <row r="951" ht="13.2"/>
    <row r="952" ht="13.2"/>
    <row r="953" ht="13.2"/>
    <row r="954" ht="13.2"/>
    <row r="955" ht="13.2"/>
    <row r="956" ht="13.2"/>
    <row r="957" ht="13.2"/>
    <row r="958" ht="13.2"/>
    <row r="959" ht="13.2"/>
    <row r="960" ht="13.2"/>
    <row r="961" ht="13.2"/>
    <row r="962" ht="13.2"/>
    <row r="963" ht="13.2"/>
    <row r="964" ht="13.2"/>
    <row r="965" ht="13.2"/>
    <row r="966" ht="13.2"/>
    <row r="967" ht="13.2"/>
    <row r="968" ht="13.2"/>
    <row r="969" ht="13.2"/>
    <row r="970" ht="13.2"/>
    <row r="971" ht="13.2"/>
    <row r="972" ht="13.2"/>
    <row r="973" ht="13.2"/>
    <row r="974" ht="13.2"/>
    <row r="975" ht="13.2"/>
    <row r="976" ht="13.2"/>
    <row r="977" ht="13.2"/>
    <row r="978" ht="13.2"/>
    <row r="979" ht="13.2"/>
    <row r="980" ht="13.2"/>
    <row r="981" ht="13.2"/>
    <row r="982" ht="13.2"/>
    <row r="983" ht="13.2"/>
    <row r="984" ht="13.2"/>
    <row r="985" ht="13.2"/>
    <row r="986" ht="13.2"/>
    <row r="987" ht="13.2"/>
    <row r="988" ht="13.2"/>
    <row r="989" ht="13.2"/>
    <row r="990" ht="13.2"/>
    <row r="991" ht="13.2"/>
    <row r="992" ht="13.2"/>
    <row r="993" ht="13.2"/>
    <row r="994" ht="13.2"/>
    <row r="995" ht="13.2"/>
    <row r="996" ht="13.2"/>
    <row r="997" ht="13.2"/>
    <row r="998" ht="13.2"/>
    <row r="999" ht="13.2"/>
    <row r="1000" ht="13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KALA.K ASSIGNMENT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renganathapuram</dc:creator>
  <cp:lastModifiedBy>Kala</cp:lastModifiedBy>
  <dcterms:created xsi:type="dcterms:W3CDTF">2026-03-31T09:48:24Z</dcterms:created>
  <dcterms:modified xsi:type="dcterms:W3CDTF">2026-04-02T13:40:38Z</dcterms:modified>
</cp:coreProperties>
</file>